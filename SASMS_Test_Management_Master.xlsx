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DEX" sheetId="1" state="visible" r:id="rId1"/>
    <sheet xmlns:r="http://schemas.openxmlformats.org/officeDocument/2006/relationships" name="🔐 Auth &amp; RBAC" sheetId="2" state="visible" r:id="rId2"/>
    <sheet xmlns:r="http://schemas.openxmlformats.org/officeDocument/2006/relationships" name="📝 Admissions V1" sheetId="3" state="visible" r:id="rId3"/>
    <sheet xmlns:r="http://schemas.openxmlformats.org/officeDocument/2006/relationships" name="📝 Admissions V2" sheetId="4" state="visible" r:id="rId4"/>
    <sheet xmlns:r="http://schemas.openxmlformats.org/officeDocument/2006/relationships" name="🎓 Student Affairs" sheetId="5" state="visible" r:id="rId5"/>
    <sheet xmlns:r="http://schemas.openxmlformats.org/officeDocument/2006/relationships" name="📅 Attendance QR" sheetId="6" state="visible" r:id="rId6"/>
    <sheet xmlns:r="http://schemas.openxmlformats.org/officeDocument/2006/relationships" name="📊 Attendance Analytics" sheetId="7" state="visible" r:id="rId7"/>
    <sheet xmlns:r="http://schemas.openxmlformats.org/officeDocument/2006/relationships" name="💬 Complaints" sheetId="8" state="visible" r:id="rId8"/>
    <sheet xmlns:r="http://schemas.openxmlformats.org/officeDocument/2006/relationships" name="💰 Finances" sheetId="9" state="visible" r:id="rId9"/>
    <sheet xmlns:r="http://schemas.openxmlformats.org/officeDocument/2006/relationships" name="🗓️ Events &amp; Activities" sheetId="10" state="visible" r:id="rId10"/>
    <sheet xmlns:r="http://schemas.openxmlformats.org/officeDocument/2006/relationships" name="👑 SuperAdmin Dashboard" sheetId="11" state="visible" r:id="rId11"/>
    <sheet xmlns:r="http://schemas.openxmlformats.org/officeDocument/2006/relationships" name="🔔 Notifications" sheetId="12" state="visible" r:id="rId12"/>
    <sheet xmlns:r="http://schemas.openxmlformats.org/officeDocument/2006/relationships" name="🛡️ Security &amp; Auth Edge" sheetId="13" state="visible" r:id="rId13"/>
    <sheet xmlns:r="http://schemas.openxmlformats.org/officeDocument/2006/relationships" name="📱 UI-UX Regression" sheetId="14" state="visible" r:id="rId14"/>
    <sheet xmlns:r="http://schemas.openxmlformats.org/officeDocument/2006/relationships" name="⚡ Performance" sheetId="15" state="visible" r:id="rId15"/>
    <sheet xmlns:r="http://schemas.openxmlformats.org/officeDocument/2006/relationships" name="🐛 Bug Report V1→V2" sheetId="16" state="visible" r:id="rId16"/>
    <sheet xmlns:r="http://schemas.openxmlformats.org/officeDocument/2006/relationships" name="⚠️ Risk Analysi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color rgb="00212121"/>
      <sz val="10"/>
    </font>
    <font>
      <name val="Arial"/>
      <b val="1"/>
      <color rgb="00212121"/>
      <sz val="10"/>
    </font>
    <font>
      <name val="Arial"/>
      <b val="1"/>
      <color rgb="00FFFFFF"/>
      <sz val="14"/>
    </font>
    <font>
      <name val="Arial"/>
      <i val="1"/>
      <color rgb="00546E7A"/>
      <sz val="9"/>
    </font>
    <font>
      <name val="Arial"/>
      <b val="1"/>
      <color rgb="00C62828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i val="1"/>
      <color rgb="00C62828"/>
      <sz val="9"/>
    </font>
    <font>
      <name val="Arial"/>
      <b val="1"/>
      <color rgb="00C62828"/>
      <sz val="11"/>
    </font>
    <font>
      <name val="Arial"/>
      <b val="1"/>
      <color rgb="00E65100"/>
      <sz val="11"/>
    </font>
    <font>
      <name val="Arial"/>
      <b val="1"/>
      <color rgb="00B8860B"/>
      <sz val="11"/>
    </font>
    <font>
      <name val="Arial"/>
      <b val="1"/>
      <color rgb="002E7D32"/>
      <sz val="11"/>
    </font>
    <font>
      <name val="Arial"/>
      <b val="1"/>
      <color rgb="00FFFFFF"/>
      <sz val="13"/>
    </font>
    <font>
      <name val="Arial"/>
      <i val="1"/>
      <color rgb="00E65100"/>
      <sz val="9"/>
    </font>
    <font>
      <name val="Arial"/>
      <b val="1"/>
      <color rgb="00212121"/>
      <sz val="12"/>
    </font>
    <font>
      <name val="Arial"/>
      <b val="1"/>
      <color rgb="008B6914"/>
      <sz val="10"/>
    </font>
    <font>
      <name val="Arial"/>
      <color rgb="00212121"/>
      <sz val="9"/>
    </font>
    <font>
      <name val="Arial"/>
      <b val="1"/>
      <color rgb="008B6914"/>
      <sz val="11"/>
    </font>
  </fonts>
  <fills count="33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A5D6A7"/>
      </patternFill>
    </fill>
    <fill>
      <patternFill patternType="solid">
        <fgColor rgb="00EF9A9A"/>
      </patternFill>
    </fill>
    <fill>
      <patternFill patternType="solid">
        <fgColor rgb="00FFE0B2"/>
      </patternFill>
    </fill>
    <fill>
      <patternFill patternType="solid">
        <fgColor rgb="00EEEEEE"/>
      </patternFill>
    </fill>
    <fill>
      <patternFill patternType="solid">
        <fgColor rgb="00E0E0E0"/>
      </patternFill>
    </fill>
    <fill>
      <patternFill patternType="solid">
        <fgColor rgb="00ECEFF1"/>
      </patternFill>
    </fill>
    <fill>
      <patternFill patternType="solid">
        <fgColor rgb="00F8F9FA"/>
      </patternFill>
    </fill>
    <fill>
      <patternFill patternType="solid">
        <fgColor rgb="C6282822"/>
      </patternFill>
    </fill>
    <fill>
      <patternFill patternType="solid">
        <fgColor rgb="E6510022"/>
      </patternFill>
    </fill>
    <fill>
      <patternFill patternType="solid">
        <fgColor rgb="1565C022"/>
      </patternFill>
    </fill>
    <fill>
      <patternFill patternType="solid">
        <fgColor rgb="2E7D3222"/>
      </patternFill>
    </fill>
    <fill>
      <patternFill patternType="solid">
        <fgColor rgb="004A148C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C62828"/>
      </patternFill>
    </fill>
    <fill>
      <patternFill patternType="solid">
        <fgColor rgb="00FFC600"/>
      </patternFill>
    </fill>
    <fill>
      <patternFill patternType="solid">
        <fgColor rgb="00FFEBEE"/>
      </patternFill>
    </fill>
    <fill>
      <patternFill patternType="solid">
        <fgColor rgb="FF174444"/>
      </patternFill>
    </fill>
    <fill>
      <patternFill patternType="solid">
        <fgColor rgb="00FFF8F8"/>
      </patternFill>
    </fill>
    <fill>
      <patternFill patternType="solid">
        <fgColor rgb="FF910044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FF174455"/>
      </patternFill>
    </fill>
    <fill>
      <patternFill patternType="solid">
        <fgColor rgb="00FFF8F2"/>
      </patternFill>
    </fill>
    <fill>
      <patternFill patternType="solid">
        <fgColor rgb="FF910055"/>
      </patternFill>
    </fill>
    <fill>
      <patternFill patternType="solid">
        <fgColor rgb="FFD60055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90A4AE"/>
      </left>
      <right style="medium">
        <color rgb="0090A4AE"/>
      </right>
      <top style="medium">
        <color rgb="0090A4AE"/>
      </top>
      <bottom style="medium">
        <color rgb="0090A4AE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1" fillId="18" borderId="2" applyAlignment="1" pivotButton="0" quotePrefix="0" xfId="0">
      <alignment horizontal="center" vertical="center" wrapText="1"/>
    </xf>
    <xf numFmtId="0" fontId="6" fillId="19" borderId="0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11" fillId="19" borderId="2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11" fillId="20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6" fillId="21" borderId="0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1" fillId="21" borderId="2" applyAlignment="1" pivotButton="0" quotePrefix="0" xfId="0">
      <alignment horizontal="center" vertical="center" wrapText="1"/>
    </xf>
    <xf numFmtId="0" fontId="6" fillId="22" borderId="0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11" fillId="22" borderId="2" applyAlignment="1" pivotButton="0" quotePrefix="0" xfId="0">
      <alignment horizontal="center" vertical="center" wrapText="1"/>
    </xf>
    <xf numFmtId="0" fontId="13" fillId="23" borderId="0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center" vertical="center" wrapText="1"/>
    </xf>
    <xf numFmtId="0" fontId="10" fillId="27" borderId="1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6" fillId="28" borderId="2" applyAlignment="1" pivotButton="0" quotePrefix="0" xfId="0">
      <alignment horizontal="center" vertical="center" wrapText="1"/>
    </xf>
    <xf numFmtId="0" fontId="17" fillId="7" borderId="2" applyAlignment="1" pivotButton="0" quotePrefix="0" xfId="0">
      <alignment horizontal="center" vertical="center" wrapText="1"/>
    </xf>
    <xf numFmtId="0" fontId="18" fillId="20" borderId="0" applyAlignment="1" pivotButton="0" quotePrefix="0" xfId="0">
      <alignment horizontal="center" vertical="center" wrapText="1"/>
    </xf>
    <xf numFmtId="0" fontId="19" fillId="27" borderId="0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30" borderId="1" applyAlignment="1" pivotButton="0" quotePrefix="0" xfId="0">
      <alignment horizontal="left" vertical="center" wrapText="1"/>
    </xf>
    <xf numFmtId="0" fontId="20" fillId="30" borderId="1" applyAlignment="1" pivotButton="0" quotePrefix="0" xfId="0">
      <alignment horizontal="center" vertical="center" wrapText="1"/>
    </xf>
    <xf numFmtId="0" fontId="9" fillId="31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1" fillId="32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3" fillId="20" borderId="2" applyAlignment="1" pivotButton="0" quotePrefix="0" xfId="0">
      <alignment horizontal="center" vertical="center" wrapText="1"/>
    </xf>
    <xf numFmtId="0" fontId="23" fillId="28" borderId="2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18" customWidth="1" min="4" max="4"/>
    <col width="18" customWidth="1" min="5" max="5"/>
    <col width="20" customWidth="1" min="6" max="6"/>
  </cols>
  <sheetData>
    <row r="1" ht="20" customHeight="1"/>
    <row r="2" ht="60" customHeight="1">
      <c r="A2" s="1" t="inlineStr">
        <is>
          <t>🏫  SASMS — School Admin &amp; Student Management System
Test Management Master Workbook</t>
        </is>
      </c>
    </row>
    <row r="3" ht="30" customHeight="1">
      <c r="A3" s="2" t="inlineStr">
        <is>
          <t>Generated: 06 March 2026   |   Version: V1 (Baseline) &amp; V2 (Fixed)   |   Tech Stack: Next.js 14 • Express.js • SQLite • Playwright</t>
        </is>
      </c>
    </row>
    <row r="4">
      <c r="A4" s="3" t="inlineStr">
        <is>
          <t>#</t>
        </is>
      </c>
      <c r="B4" s="3" t="inlineStr">
        <is>
          <t>Sheet Name</t>
        </is>
      </c>
      <c r="C4" s="3" t="inlineStr">
        <is>
          <t>Area Covered</t>
        </is>
      </c>
      <c r="D4" s="3" t="inlineStr">
        <is>
          <t>Test Cases (V1)</t>
        </is>
      </c>
      <c r="E4" s="3" t="inlineStr">
        <is>
          <t>Test Cases (V2)</t>
        </is>
      </c>
      <c r="F4" s="3" t="inlineStr">
        <is>
          <t>Status Legend</t>
        </is>
      </c>
    </row>
    <row r="5">
      <c r="A5" s="4" t="n">
        <v>1</v>
      </c>
      <c r="B5" s="5" t="inlineStr">
        <is>
          <t>🔐 Auth &amp; RBAC</t>
        </is>
      </c>
      <c r="C5" s="5" t="inlineStr">
        <is>
          <t>Login, JWT, Role-Based Access Control</t>
        </is>
      </c>
      <c r="D5" s="4" t="n">
        <v>18</v>
      </c>
      <c r="E5" s="4" t="n">
        <v>18</v>
      </c>
      <c r="F5" s="5" t="n"/>
    </row>
    <row r="6">
      <c r="A6" s="6" t="n">
        <v>2</v>
      </c>
      <c r="B6" s="7" t="inlineStr">
        <is>
          <t>📝 Admissions V1</t>
        </is>
      </c>
      <c r="C6" s="7" t="inlineStr">
        <is>
          <t>Applicant Registration, Document Upload (V1)</t>
        </is>
      </c>
      <c r="D6" s="6" t="n">
        <v>22</v>
      </c>
      <c r="E6" s="6" t="n">
        <v>0</v>
      </c>
      <c r="F6" s="7" t="n"/>
    </row>
    <row r="7">
      <c r="A7" s="4" t="n">
        <v>3</v>
      </c>
      <c r="B7" s="5" t="inlineStr">
        <is>
          <t>📝 Admissions V2</t>
        </is>
      </c>
      <c r="C7" s="5" t="inlineStr">
        <is>
          <t>Multi-Stage Pipeline (V2 — Exam/Interview/Accept)</t>
        </is>
      </c>
      <c r="D7" s="4" t="n">
        <v>0</v>
      </c>
      <c r="E7" s="4" t="n">
        <v>28</v>
      </c>
      <c r="F7" s="5" t="n"/>
    </row>
    <row r="8">
      <c r="A8" s="6" t="n">
        <v>4</v>
      </c>
      <c r="B8" s="7" t="inlineStr">
        <is>
          <t>🎓 Student Affairs</t>
        </is>
      </c>
      <c r="C8" s="7" t="inlineStr">
        <is>
          <t>Student Profile, Grades, Document Management</t>
        </is>
      </c>
      <c r="D8" s="6" t="n">
        <v>20</v>
      </c>
      <c r="E8" s="6" t="n">
        <v>20</v>
      </c>
      <c r="F8" s="7" t="n"/>
    </row>
    <row r="9">
      <c r="A9" s="4" t="n">
        <v>5</v>
      </c>
      <c r="B9" s="5" t="inlineStr">
        <is>
          <t>📅 Attendance QR</t>
        </is>
      </c>
      <c r="C9" s="5" t="inlineStr">
        <is>
          <t>QR Session Creation, GPS Marking, Absent Auto-Mark</t>
        </is>
      </c>
      <c r="D9" s="4" t="n">
        <v>24</v>
      </c>
      <c r="E9" s="4" t="n">
        <v>24</v>
      </c>
      <c r="F9" s="5" t="n"/>
    </row>
    <row r="10">
      <c r="A10" s="6" t="n">
        <v>6</v>
      </c>
      <c r="B10" s="7" t="inlineStr">
        <is>
          <t>📊 Attendance Analytics</t>
        </is>
      </c>
      <c r="C10" s="7" t="inlineStr">
        <is>
          <t>Cross-Session Analytics, Drill-Down Reports</t>
        </is>
      </c>
      <c r="D10" s="6" t="n">
        <v>14</v>
      </c>
      <c r="E10" s="6" t="n">
        <v>14</v>
      </c>
      <c r="F10" s="7" t="n"/>
    </row>
    <row r="11">
      <c r="A11" s="4" t="n">
        <v>7</v>
      </c>
      <c r="B11" s="5" t="inlineStr">
        <is>
          <t>💬 Complaints &amp; Tickets</t>
        </is>
      </c>
      <c r="C11" s="5" t="inlineStr">
        <is>
          <t>Create Ticket, Staff Response, Resolve, Chat UI</t>
        </is>
      </c>
      <c r="D11" s="4" t="n">
        <v>18</v>
      </c>
      <c r="E11" s="4" t="n">
        <v>18</v>
      </c>
      <c r="F11" s="5" t="n"/>
    </row>
    <row r="12">
      <c r="A12" s="6" t="n">
        <v>8</v>
      </c>
      <c r="B12" s="7" t="inlineStr">
        <is>
          <t>💰 Finances</t>
        </is>
      </c>
      <c r="C12" s="7" t="inlineStr">
        <is>
          <t>Fee Setup, Payment Tracking, Overrides, Bus Fees</t>
        </is>
      </c>
      <c r="D12" s="6" t="n">
        <v>26</v>
      </c>
      <c r="E12" s="6" t="n">
        <v>26</v>
      </c>
      <c r="F12" s="7" t="n"/>
    </row>
    <row r="13">
      <c r="A13" s="4" t="n">
        <v>9</v>
      </c>
      <c r="B13" s="5" t="inlineStr">
        <is>
          <t>🗓️ Events &amp; Activities</t>
        </is>
      </c>
      <c r="C13" s="5" t="inlineStr">
        <is>
          <t>Event CRUD, Shared Activity Manager, Notifications</t>
        </is>
      </c>
      <c r="D13" s="4" t="n">
        <v>16</v>
      </c>
      <c r="E13" s="4" t="n">
        <v>16</v>
      </c>
      <c r="F13" s="5" t="n"/>
    </row>
    <row r="14">
      <c r="A14" s="6" t="n">
        <v>10</v>
      </c>
      <c r="B14" s="7" t="inlineStr">
        <is>
          <t>👑 SuperAdmin Dashboard</t>
        </is>
      </c>
      <c r="C14" s="7" t="inlineStr">
        <is>
          <t>KPI Dashboard, Dept Governance, Audit Logs</t>
        </is>
      </c>
      <c r="D14" s="6" t="n">
        <v>20</v>
      </c>
      <c r="E14" s="6" t="n">
        <v>20</v>
      </c>
      <c r="F14" s="7" t="n"/>
    </row>
    <row r="15">
      <c r="A15" s="4" t="n">
        <v>11</v>
      </c>
      <c r="B15" s="5" t="inlineStr">
        <is>
          <t>🔔 Notifications</t>
        </is>
      </c>
      <c r="C15" s="5" t="inlineStr">
        <is>
          <t>In-App &amp; Email Notifications, Delivery Verification</t>
        </is>
      </c>
      <c r="D15" s="4" t="n">
        <v>14</v>
      </c>
      <c r="E15" s="4" t="n">
        <v>14</v>
      </c>
      <c r="F15" s="5" t="n"/>
    </row>
    <row r="16">
      <c r="A16" s="6" t="n">
        <v>12</v>
      </c>
      <c r="B16" s="7" t="inlineStr">
        <is>
          <t>🛡️ Security &amp; Auth Edge</t>
        </is>
      </c>
      <c r="C16" s="7" t="inlineStr">
        <is>
          <t>JWT Expiry, CSRF, XSS, Rate Limits, Auth Bypass</t>
        </is>
      </c>
      <c r="D16" s="6" t="n">
        <v>20</v>
      </c>
      <c r="E16" s="6" t="n">
        <v>20</v>
      </c>
      <c r="F16" s="7" t="n"/>
    </row>
    <row r="17">
      <c r="A17" s="4" t="n">
        <v>13</v>
      </c>
      <c r="B17" s="5" t="inlineStr">
        <is>
          <t>📱 UI / UX Regression</t>
        </is>
      </c>
      <c r="C17" s="5" t="inlineStr">
        <is>
          <t>Responsive Design, Animations, Theme, MUI Components</t>
        </is>
      </c>
      <c r="D17" s="4" t="n">
        <v>18</v>
      </c>
      <c r="E17" s="4" t="n">
        <v>18</v>
      </c>
      <c r="F17" s="5" t="n"/>
    </row>
    <row r="18">
      <c r="A18" s="6" t="n">
        <v>14</v>
      </c>
      <c r="B18" s="7" t="inlineStr">
        <is>
          <t>⚡ Performance</t>
        </is>
      </c>
      <c r="C18" s="7" t="inlineStr">
        <is>
          <t>Load Testing, API Response Times, DB Query Bench</t>
        </is>
      </c>
      <c r="D18" s="6" t="n">
        <v>12</v>
      </c>
      <c r="E18" s="6" t="n">
        <v>12</v>
      </c>
      <c r="F18" s="7" t="n"/>
    </row>
    <row r="19">
      <c r="A19" s="4" t="n">
        <v>15</v>
      </c>
      <c r="B19" s="5" t="inlineStr">
        <is>
          <t>🐛 Bug Report V1→V2</t>
        </is>
      </c>
      <c r="C19" s="5" t="inlineStr">
        <is>
          <t>All V1 Bugs &amp; V2 Fixes — Detailed Traceable Report</t>
        </is>
      </c>
      <c r="D19" s="4" t="n">
        <v>0</v>
      </c>
      <c r="E19" s="4" t="n">
        <v>0</v>
      </c>
      <c r="F19" s="5" t="n"/>
    </row>
    <row r="20">
      <c r="A20" s="6" t="n">
        <v>16</v>
      </c>
      <c r="B20" s="7" t="inlineStr">
        <is>
          <t>⚠️ Risk Analysis</t>
        </is>
      </c>
      <c r="C20" s="7" t="inlineStr">
        <is>
          <t>Future Risk Assessment, Security &amp; Scalability Threats</t>
        </is>
      </c>
      <c r="D20" s="6" t="n">
        <v>0</v>
      </c>
      <c r="E20" s="6" t="n">
        <v>0</v>
      </c>
      <c r="F20" s="7" t="n"/>
    </row>
    <row r="22">
      <c r="A22" s="8" t="inlineStr">
        <is>
          <t>STATUS LEGEND</t>
        </is>
      </c>
    </row>
    <row r="23">
      <c r="A23" s="9" t="inlineStr">
        <is>
          <t>✅ PASS</t>
        </is>
      </c>
      <c r="B23" s="10" t="inlineStr">
        <is>
          <t>❌ FAIL</t>
        </is>
      </c>
      <c r="C23" s="11" t="inlineStr">
        <is>
          <t>🔶 BLOCKED</t>
        </is>
      </c>
      <c r="D23" s="12" t="inlineStr">
        <is>
          <t>⬜ NOT RUN</t>
        </is>
      </c>
      <c r="E23" s="13" t="inlineStr">
        <is>
          <t>➡️ N/A</t>
        </is>
      </c>
    </row>
  </sheetData>
  <mergeCells count="3">
    <mergeCell ref="A3:H3"/>
    <mergeCell ref="A2:H2"/>
    <mergeCell ref="A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14" t="inlineStr">
        <is>
          <t>🧪  Authentication &amp; Role-Based Access Control (RBAC)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16" t="inlineStr">
        <is>
          <t>Test ID</t>
        </is>
      </c>
      <c r="B3" s="16" t="inlineStr">
        <is>
          <t>Category</t>
        </is>
      </c>
      <c r="C3" s="16" t="inlineStr">
        <is>
          <t>Test Case Name</t>
        </is>
      </c>
      <c r="D3" s="16" t="inlineStr">
        <is>
          <t>Priority</t>
        </is>
      </c>
      <c r="E3" s="16" t="inlineStr">
        <is>
          <t>Type</t>
        </is>
      </c>
      <c r="F3" s="16" t="inlineStr">
        <is>
          <t>Pre-conditions</t>
        </is>
      </c>
      <c r="G3" s="16" t="inlineStr">
        <is>
          <t>Test Steps</t>
        </is>
      </c>
      <c r="H3" s="16" t="inlineStr">
        <is>
          <t>Expected Result (V1)</t>
        </is>
      </c>
      <c r="I3" s="16" t="inlineStr">
        <is>
          <t>Expected Result (V2)</t>
        </is>
      </c>
      <c r="J3" s="16" t="inlineStr">
        <is>
          <t>Actual Result (V1)</t>
        </is>
      </c>
      <c r="K3" s="16" t="inlineStr">
        <is>
          <t>Status V1</t>
        </is>
      </c>
      <c r="L3" s="16" t="inlineStr">
        <is>
          <t>Actual Result (V2)</t>
        </is>
      </c>
      <c r="M3" s="16" t="inlineStr">
        <is>
          <t>Status V2</t>
        </is>
      </c>
      <c r="N3" s="16" t="inlineStr">
        <is>
          <t>Notes / Defect ID</t>
        </is>
      </c>
    </row>
    <row r="4" ht="55" customHeight="1">
      <c r="A4" s="17" t="inlineStr">
        <is>
          <t>AUTH-001</t>
        </is>
      </c>
      <c r="B4" s="17" t="inlineStr">
        <is>
          <t>Login</t>
        </is>
      </c>
      <c r="C4" s="17" t="inlineStr">
        <is>
          <t>SuperAdmin login with valid credentials</t>
        </is>
      </c>
      <c r="D4" s="18" t="inlineStr">
        <is>
          <t>Critical</t>
        </is>
      </c>
      <c r="E4" s="17" t="inlineStr">
        <is>
          <t>Functional</t>
        </is>
      </c>
      <c r="F4" s="17" t="inlineStr">
        <is>
          <t>System running. SuperAdmin account exists.</t>
        </is>
      </c>
      <c r="G4" s="17" t="inlineStr">
        <is>
          <t>1. Go to /login
2. Enter SuperAdmin email &amp; password
3. Select "System SuperAdmin" from role dropdown
4. Click Login</t>
        </is>
      </c>
      <c r="H4" s="17" t="inlineStr">
        <is>
          <t>Redirect to /admin dashboard. JWT stored in localStorage. Role = SUPER_ADMIN.</t>
        </is>
      </c>
      <c r="I4" s="17" t="inlineStr">
        <is>
          <t>Same + audit log entry created. Toast notification shown.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AUTH-002</t>
        </is>
      </c>
      <c r="B5" s="7" t="inlineStr">
        <is>
          <t>Login</t>
        </is>
      </c>
      <c r="C5" s="7" t="inlineStr">
        <is>
          <t>Staff login with valid credentials</t>
        </is>
      </c>
      <c r="D5" s="18" t="inlineStr">
        <is>
          <t>Critical</t>
        </is>
      </c>
      <c r="E5" s="7" t="inlineStr">
        <is>
          <t>Functional</t>
        </is>
      </c>
      <c r="F5" s="7" t="inlineStr">
        <is>
          <t>Staff account exists in DB.</t>
        </is>
      </c>
      <c r="G5" s="7" t="inlineStr">
        <is>
          <t>1. Go to /login
2. Enter staff credentials
3. Select "Staff" role
4. Click Login</t>
        </is>
      </c>
      <c r="H5" s="7" t="inlineStr">
        <is>
          <t>Redirect to /admin (staff view). JWT stored.</t>
        </is>
      </c>
      <c r="I5" s="7" t="inlineStr">
        <is>
          <t>Same behavior. Role-scoped navigation visible.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AUTH-003</t>
        </is>
      </c>
      <c r="B6" s="17" t="inlineStr">
        <is>
          <t>Login</t>
        </is>
      </c>
      <c r="C6" s="17" t="inlineStr">
        <is>
          <t>Student login with valid credentials</t>
        </is>
      </c>
      <c r="D6" s="18" t="inlineStr">
        <is>
          <t>Critical</t>
        </is>
      </c>
      <c r="E6" s="17" t="inlineStr">
        <is>
          <t>Functional</t>
        </is>
      </c>
      <c r="F6" s="17" t="inlineStr">
        <is>
          <t>Accepted student account exists.</t>
        </is>
      </c>
      <c r="G6" s="17" t="inlineStr">
        <is>
          <t>1. Go to /login
2. Enter student credentials
3. Select "Student" role
4. Click Login</t>
        </is>
      </c>
      <c r="H6" s="17" t="inlineStr">
        <is>
          <t>Redirect to /student dashboard.</t>
        </is>
      </c>
      <c r="I6" s="17" t="inlineStr">
        <is>
          <t>Same. Student sees their profile, grades, fees.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AUTH-004</t>
        </is>
      </c>
      <c r="B7" s="7" t="inlineStr">
        <is>
          <t>Login</t>
        </is>
      </c>
      <c r="C7" s="7" t="inlineStr">
        <is>
          <t>Applicant login with valid credentials</t>
        </is>
      </c>
      <c r="D7" s="19" t="inlineStr">
        <is>
          <t>High</t>
        </is>
      </c>
      <c r="E7" s="7" t="inlineStr">
        <is>
          <t>Functional</t>
        </is>
      </c>
      <c r="F7" s="7" t="inlineStr">
        <is>
          <t>Applicant registered with PENDING status.</t>
        </is>
      </c>
      <c r="G7" s="7" t="inlineStr">
        <is>
          <t>1. Go to /login
2. Enter applicant credentials
3. Select "Applicant" role</t>
        </is>
      </c>
      <c r="H7" s="7" t="inlineStr">
        <is>
          <t>Redirect to /applicant/dashboard. Shows basic status.</t>
        </is>
      </c>
      <c r="I7" s="7" t="inlineStr">
        <is>
          <t>Redirect to /applicant/dashboard. Shows animated 5-stage pipeline stepper.</t>
        </is>
      </c>
      <c r="J7" s="7" t="inlineStr"/>
      <c r="K7" s="7" t="inlineStr"/>
      <c r="L7" s="7" t="inlineStr"/>
      <c r="M7" s="7" t="inlineStr"/>
      <c r="N7" s="7" t="inlineStr">
        <is>
          <t>V2 adds visual pipeline display</t>
        </is>
      </c>
    </row>
    <row r="8" ht="55" customHeight="1">
      <c r="A8" s="17" t="inlineStr">
        <is>
          <t>AUTH-005</t>
        </is>
      </c>
      <c r="B8" s="17" t="inlineStr">
        <is>
          <t>Login</t>
        </is>
      </c>
      <c r="C8" s="17" t="inlineStr">
        <is>
          <t>Login with wrong password</t>
        </is>
      </c>
      <c r="D8" s="18" t="inlineStr">
        <is>
          <t>Critical</t>
        </is>
      </c>
      <c r="E8" s="17" t="inlineStr">
        <is>
          <t>Negative</t>
        </is>
      </c>
      <c r="F8" s="17" t="inlineStr">
        <is>
          <t>Valid user exists.</t>
        </is>
      </c>
      <c r="G8" s="17" t="inlineStr">
        <is>
          <t>1. Enter valid email + wrong password
2. Click Login</t>
        </is>
      </c>
      <c r="H8" s="17" t="inlineStr">
        <is>
          <t>Error message displayed. No redirect.</t>
        </is>
      </c>
      <c r="I8" s="17" t="inlineStr">
        <is>
          <t>Same. 3 failed attempts trigger account lockout warning.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AUTH-006</t>
        </is>
      </c>
      <c r="B9" s="7" t="inlineStr">
        <is>
          <t>Login</t>
        </is>
      </c>
      <c r="C9" s="7" t="inlineStr">
        <is>
          <t>Login with non-existent email</t>
        </is>
      </c>
      <c r="D9" s="19" t="inlineStr">
        <is>
          <t>High</t>
        </is>
      </c>
      <c r="E9" s="7" t="inlineStr">
        <is>
          <t>Negative</t>
        </is>
      </c>
      <c r="F9" s="7" t="inlineStr">
        <is>
          <t>None.</t>
        </is>
      </c>
      <c r="G9" s="7" t="inlineStr">
        <is>
          <t>Enter unknown email + any password → Login</t>
        </is>
      </c>
      <c r="H9" s="7" t="inlineStr">
        <is>
          <t>Generic error "Invalid credentials" shown (no enumeration).</t>
        </is>
      </c>
      <c r="I9" s="7" t="inlineStr">
        <is>
          <t>Same behavior. No user enumeration leak.</t>
        </is>
      </c>
      <c r="J9" s="7" t="inlineStr"/>
      <c r="K9" s="7" t="inlineStr"/>
      <c r="L9" s="7" t="inlineStr"/>
      <c r="M9" s="7" t="inlineStr"/>
      <c r="N9" s="7" t="inlineStr">
        <is>
          <t>Security: must not say "user not found"</t>
        </is>
      </c>
    </row>
    <row r="10" ht="55" customHeight="1">
      <c r="A10" s="17" t="inlineStr">
        <is>
          <t>AUTH-007</t>
        </is>
      </c>
      <c r="B10" s="17" t="inlineStr">
        <is>
          <t>Login</t>
        </is>
      </c>
      <c r="C10" s="17" t="inlineStr">
        <is>
          <t>Login with mismatched role selection</t>
        </is>
      </c>
      <c r="D10" s="19" t="inlineStr">
        <is>
          <t>High</t>
        </is>
      </c>
      <c r="E10" s="17" t="inlineStr">
        <is>
          <t>Negative</t>
        </is>
      </c>
      <c r="F10" s="17" t="inlineStr">
        <is>
          <t>Student account exists.</t>
        </is>
      </c>
      <c r="G10" s="17" t="inlineStr">
        <is>
          <t>Login with student credentials but select "Staff" role</t>
        </is>
      </c>
      <c r="H10" s="17" t="inlineStr">
        <is>
          <t>V1 BUG: May allow access to staff panel or crash.</t>
        </is>
      </c>
      <c r="I10" s="17" t="inlineStr">
        <is>
          <t>V2 FIX: Server validates role claim. Error returned. Access denied.</t>
        </is>
      </c>
      <c r="J10" s="17" t="inlineStr"/>
      <c r="K10" s="17" t="inlineStr"/>
      <c r="L10" s="17" t="inlineStr"/>
      <c r="M10" s="17" t="inlineStr"/>
      <c r="N10" s="17" t="inlineStr">
        <is>
          <t>V1 Known Bug</t>
        </is>
      </c>
    </row>
    <row r="11" ht="55" customHeight="1">
      <c r="A11" s="7" t="inlineStr">
        <is>
          <t>AUTH-008</t>
        </is>
      </c>
      <c r="B11" s="7" t="inlineStr">
        <is>
          <t>RBAC</t>
        </is>
      </c>
      <c r="C11" s="7" t="inlineStr">
        <is>
          <t>Staff cannot access SuperAdmin routes</t>
        </is>
      </c>
      <c r="D11" s="18" t="inlineStr">
        <is>
          <t>Critical</t>
        </is>
      </c>
      <c r="E11" s="7" t="inlineStr">
        <is>
          <t>Security</t>
        </is>
      </c>
      <c r="F11" s="7" t="inlineStr">
        <is>
          <t>Staff user logged in.</t>
        </is>
      </c>
      <c r="G11" s="7" t="inlineStr">
        <is>
          <t>Manually navigate to /superadmin/departments or /superadmin/audit-logs</t>
        </is>
      </c>
      <c r="H11" s="7" t="inlineStr">
        <is>
          <t>V1 BUG: Some routes may not check role on server side.</t>
        </is>
      </c>
      <c r="I11" s="7" t="inlineStr">
        <is>
          <t>V2 FIX: 403 Forbidden returned. Redirect to /unauthorized.</t>
        </is>
      </c>
      <c r="J11" s="7" t="inlineStr"/>
      <c r="K11" s="7" t="inlineStr"/>
      <c r="L11" s="7" t="inlineStr"/>
      <c r="M11" s="7" t="inlineStr"/>
      <c r="N11" s="7" t="inlineStr">
        <is>
          <t>CRITICAL RBAC test</t>
        </is>
      </c>
    </row>
    <row r="12" ht="55" customHeight="1">
      <c r="A12" s="17" t="inlineStr">
        <is>
          <t>AUTH-009</t>
        </is>
      </c>
      <c r="B12" s="17" t="inlineStr">
        <is>
          <t>RBAC</t>
        </is>
      </c>
      <c r="C12" s="17" t="inlineStr">
        <is>
          <t>Student cannot access admin panel</t>
        </is>
      </c>
      <c r="D12" s="18" t="inlineStr">
        <is>
          <t>Critical</t>
        </is>
      </c>
      <c r="E12" s="17" t="inlineStr">
        <is>
          <t>Security</t>
        </is>
      </c>
      <c r="F12" s="17" t="inlineStr">
        <is>
          <t>Student user logged in.</t>
        </is>
      </c>
      <c r="G12" s="17" t="inlineStr">
        <is>
          <t>Navigate to /admin or /superadmin</t>
        </is>
      </c>
      <c r="H12" s="17" t="inlineStr">
        <is>
          <t>Redirect to /login or /student dashboard.</t>
        </is>
      </c>
      <c r="I12" s="17" t="inlineStr">
        <is>
          <t>Same. JWT role verified server-side on every protected endpoint.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AUTH-010</t>
        </is>
      </c>
      <c r="B13" s="7" t="inlineStr">
        <is>
          <t>RBAC</t>
        </is>
      </c>
      <c r="C13" s="7" t="inlineStr">
        <is>
          <t>Applicant cannot see student data</t>
        </is>
      </c>
      <c r="D13" s="19" t="inlineStr">
        <is>
          <t>High</t>
        </is>
      </c>
      <c r="E13" s="7" t="inlineStr">
        <is>
          <t>Security</t>
        </is>
      </c>
      <c r="F13" s="7" t="inlineStr">
        <is>
          <t>Applicant logged in.</t>
        </is>
      </c>
      <c r="G13" s="7" t="inlineStr">
        <is>
          <t>Attempt to call GET /api/students or navigate to /student/*</t>
        </is>
      </c>
      <c r="H13" s="7" t="inlineStr">
        <is>
          <t>401 or redirect.</t>
        </is>
      </c>
      <c r="I13" s="7" t="inlineStr">
        <is>
          <t>Same. No data leak.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AUTH-011</t>
        </is>
      </c>
      <c r="B14" s="17" t="inlineStr">
        <is>
          <t>JWT</t>
        </is>
      </c>
      <c r="C14" s="17" t="inlineStr">
        <is>
          <t>Expired JWT token rejected</t>
        </is>
      </c>
      <c r="D14" s="18" t="inlineStr">
        <is>
          <t>Critical</t>
        </is>
      </c>
      <c r="E14" s="17" t="inlineStr">
        <is>
          <t>Security</t>
        </is>
      </c>
      <c r="F14" s="17" t="inlineStr">
        <is>
          <t>User logged in with valid JWT.</t>
        </is>
      </c>
      <c r="G14" s="17" t="inlineStr">
        <is>
          <t>Wait for token expiry (or manually expire token)
Make authenticated API call</t>
        </is>
      </c>
      <c r="H14" s="17" t="inlineStr">
        <is>
          <t>401 returned. User redirected to login.</t>
        </is>
      </c>
      <c r="I14" s="17" t="inlineStr">
        <is>
          <t>Same. Refresh token mechanism attempted first.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AUTH-012</t>
        </is>
      </c>
      <c r="B15" s="7" t="inlineStr">
        <is>
          <t>JWT</t>
        </is>
      </c>
      <c r="C15" s="7" t="inlineStr">
        <is>
          <t>Tampered JWT token rejected</t>
        </is>
      </c>
      <c r="D15" s="18" t="inlineStr">
        <is>
          <t>Critical</t>
        </is>
      </c>
      <c r="E15" s="7" t="inlineStr">
        <is>
          <t>Security</t>
        </is>
      </c>
      <c r="F15" s="7" t="inlineStr">
        <is>
          <t>Valid JWT in browser.</t>
        </is>
      </c>
      <c r="G15" s="7" t="inlineStr">
        <is>
          <t>Modify JWT payload (e.g., change role to SUPER_ADMIN)
Make API request</t>
        </is>
      </c>
      <c r="H15" s="7" t="inlineStr">
        <is>
          <t>401 Unauthorized. Token signature invalid.</t>
        </is>
      </c>
      <c r="I15" s="7" t="inlineStr">
        <is>
          <t>Same. No privilege escalation possible.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AUTH-013</t>
        </is>
      </c>
      <c r="B16" s="17" t="inlineStr">
        <is>
          <t>Logout</t>
        </is>
      </c>
      <c r="C16" s="17" t="inlineStr">
        <is>
          <t>User logout clears session</t>
        </is>
      </c>
      <c r="D16" s="19" t="inlineStr">
        <is>
          <t>High</t>
        </is>
      </c>
      <c r="E16" s="17" t="inlineStr">
        <is>
          <t>Functional</t>
        </is>
      </c>
      <c r="F16" s="17" t="inlineStr">
        <is>
          <t>Any role logged in.</t>
        </is>
      </c>
      <c r="G16" s="17" t="inlineStr">
        <is>
          <t>Click Logout button
Check localStorage/sessionStorage
Try to access protected route</t>
        </is>
      </c>
      <c r="H16" s="17" t="inlineStr">
        <is>
          <t>JWT removed. Redirect to /login. Protected routes return 401.</t>
        </is>
      </c>
      <c r="I16" s="17" t="inlineStr">
        <is>
          <t>Same. Audit log records logout event.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AUTH-014</t>
        </is>
      </c>
      <c r="B17" s="7" t="inlineStr">
        <is>
          <t>Password</t>
        </is>
      </c>
      <c r="C17" s="7" t="inlineStr">
        <is>
          <t>Password hashing with Bcrypt</t>
        </is>
      </c>
      <c r="D17" s="18" t="inlineStr">
        <is>
          <t>Critical</t>
        </is>
      </c>
      <c r="E17" s="7" t="inlineStr">
        <is>
          <t>Security</t>
        </is>
      </c>
      <c r="F17" s="7" t="inlineStr">
        <is>
          <t>Access to SQLite DB.</t>
        </is>
      </c>
      <c r="G17" s="7" t="inlineStr">
        <is>
          <t>Check user password field in dev.db after registration</t>
        </is>
      </c>
      <c r="H17" s="7" t="inlineStr">
        <is>
          <t>Password stored as bcrypt hash (starts with $2b$).</t>
        </is>
      </c>
      <c r="I17" s="7" t="inlineStr">
        <is>
          <t>Same. Salt rounds = 10+.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AUTH-015</t>
        </is>
      </c>
      <c r="B18" s="17" t="inlineStr">
        <is>
          <t>Registration</t>
        </is>
      </c>
      <c r="C18" s="17" t="inlineStr">
        <is>
          <t>Applicant self-registration form validation</t>
        </is>
      </c>
      <c r="D18" s="19" t="inlineStr">
        <is>
          <t>High</t>
        </is>
      </c>
      <c r="E18" s="17" t="inlineStr">
        <is>
          <t>Functional</t>
        </is>
      </c>
      <c r="F18" s="17" t="inlineStr">
        <is>
          <t>Application page accessible.</t>
        </is>
      </c>
      <c r="G18" s="17" t="inlineStr">
        <is>
          <t>Submit registration form with missing required fields</t>
        </is>
      </c>
      <c r="H18" s="17" t="inlineStr">
        <is>
          <t>Validation errors shown per field.</t>
        </is>
      </c>
      <c r="I18" s="17" t="inlineStr">
        <is>
          <t>Same. Better UX with inline validation.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AUTH-016</t>
        </is>
      </c>
      <c r="B19" s="7" t="inlineStr">
        <is>
          <t>Registration</t>
        </is>
      </c>
      <c r="C19" s="7" t="inlineStr">
        <is>
          <t>Duplicate email registration blocked</t>
        </is>
      </c>
      <c r="D19" s="19" t="inlineStr">
        <is>
          <t>High</t>
        </is>
      </c>
      <c r="E19" s="7" t="inlineStr">
        <is>
          <t>Negative</t>
        </is>
      </c>
      <c r="F19" s="7" t="inlineStr">
        <is>
          <t>Email already registered.</t>
        </is>
      </c>
      <c r="G19" s="7" t="inlineStr">
        <is>
          <t>Register new applicant with existing email</t>
        </is>
      </c>
      <c r="H19" s="7" t="inlineStr">
        <is>
          <t>Error: Email already in use.</t>
        </is>
      </c>
      <c r="I19" s="7" t="inlineStr">
        <is>
          <t>Same. Clear error messaging.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AUTH-017</t>
        </is>
      </c>
      <c r="B20" s="17" t="inlineStr">
        <is>
          <t>RBAC</t>
        </is>
      </c>
      <c r="C20" s="17" t="inlineStr">
        <is>
          <t>Staff can only view own department data</t>
        </is>
      </c>
      <c r="D20" s="19" t="inlineStr">
        <is>
          <t>High</t>
        </is>
      </c>
      <c r="E20" s="17" t="inlineStr">
        <is>
          <t>Security</t>
        </is>
      </c>
      <c r="F20" s="17" t="inlineStr">
        <is>
          <t>Staff assigned to Dept A. Dept B exists.</t>
        </is>
      </c>
      <c r="G20" s="17" t="inlineStr">
        <is>
          <t>Staff in Dept A attempts GET /api/students?dept=B</t>
        </is>
      </c>
      <c r="H20" s="17" t="inlineStr">
        <is>
          <t>V1 BUG: May return data across departments.</t>
        </is>
      </c>
      <c r="I20" s="17" t="inlineStr">
        <is>
          <t>V2 FIX: Department scoping enforced. Only Dept A students returned.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AUTH-018</t>
        </is>
      </c>
      <c r="B21" s="7" t="inlineStr">
        <is>
          <t>Auth UI</t>
        </is>
      </c>
      <c r="C21" s="7" t="inlineStr">
        <is>
          <t>Role dropdown shows only valid options</t>
        </is>
      </c>
      <c r="D21" s="20" t="inlineStr">
        <is>
          <t>Medium</t>
        </is>
      </c>
      <c r="E21" s="7" t="inlineStr">
        <is>
          <t>UI</t>
        </is>
      </c>
      <c r="F21" s="7" t="inlineStr">
        <is>
          <t>Login page loaded.</t>
        </is>
      </c>
      <c r="G21" s="7" t="inlineStr">
        <is>
          <t>Open role selection dropdown
Check available options</t>
        </is>
      </c>
      <c r="H21" s="7" t="inlineStr">
        <is>
          <t>Shows: SuperAdmin, Staff, Student, Applicant.</t>
        </is>
      </c>
      <c r="I21" s="7" t="inlineStr">
        <is>
          <t>Same. Correct labels displayed.</t>
        </is>
      </c>
      <c r="J21" s="7" t="inlineStr"/>
      <c r="K21" s="7" t="inlineStr"/>
      <c r="L21" s="7" t="inlineStr"/>
      <c r="M21" s="7" t="inlineStr"/>
      <c r="N21" s="7" t="inlineStr"/>
    </row>
    <row r="23">
      <c r="A23" s="21" t="inlineStr">
        <is>
          <t>TOTAL TEST CASES: 18</t>
        </is>
      </c>
      <c r="B23" s="22" t="n"/>
      <c r="C23" s="22" t="n"/>
      <c r="D23" s="22" t="n"/>
      <c r="E23" s="23">
        <f>COUNTIF(K4:K21,"✅ PASS")</f>
        <v/>
      </c>
      <c r="F23" s="24">
        <f>COUNTIF(K4:K21,"❌ FAIL")</f>
        <v/>
      </c>
      <c r="G23" s="22" t="inlineStr">
        <is>
          <t>V1 Pass%</t>
        </is>
      </c>
      <c r="H23" s="25">
        <f>IFERROR(E23/(18)*100,0)&amp;"%"</f>
        <v/>
      </c>
      <c r="I23" s="23">
        <f>COUNTIF(M4:M21,"✅ PASS")</f>
        <v/>
      </c>
      <c r="J23" s="24">
        <f>COUNTIF(M4:M21,"❌ FAIL")</f>
        <v/>
      </c>
      <c r="K23" s="22" t="inlineStr">
        <is>
          <t>V2 Pass%</t>
        </is>
      </c>
      <c r="L23" s="25">
        <f>IFERROR(I23/(18)*100,0)&amp;"%"</f>
        <v/>
      </c>
      <c r="M23" s="22" t="n"/>
      <c r="N23" s="22" t="n"/>
    </row>
  </sheetData>
  <mergeCells count="3">
    <mergeCell ref="A23:D23"/>
    <mergeCell ref="A2:N2"/>
    <mergeCell ref="A1:N1"/>
  </mergeCells>
  <dataValidations count="2">
    <dataValidation sqref="K4:K21" showDropDown="0" showInputMessage="0" showErrorMessage="0" allowBlank="0" type="list">
      <formula1>"✅ PASS,❌ FAIL,🔶 BLOCKED,⬜ NOT RUN,➡️ N/A"</formula1>
    </dataValidation>
    <dataValidation sqref="M4:M21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26" t="inlineStr">
        <is>
          <t>🧪  Admissions Module — V1 (Baseline)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27" t="inlineStr">
        <is>
          <t>Test ID</t>
        </is>
      </c>
      <c r="B3" s="27" t="inlineStr">
        <is>
          <t>Category</t>
        </is>
      </c>
      <c r="C3" s="27" t="inlineStr">
        <is>
          <t>Test Case Name</t>
        </is>
      </c>
      <c r="D3" s="27" t="inlineStr">
        <is>
          <t>Priority</t>
        </is>
      </c>
      <c r="E3" s="27" t="inlineStr">
        <is>
          <t>Type</t>
        </is>
      </c>
      <c r="F3" s="27" t="inlineStr">
        <is>
          <t>Pre-conditions</t>
        </is>
      </c>
      <c r="G3" s="27" t="inlineStr">
        <is>
          <t>Test Steps</t>
        </is>
      </c>
      <c r="H3" s="27" t="inlineStr">
        <is>
          <t>Expected Result (V1)</t>
        </is>
      </c>
      <c r="I3" s="27" t="inlineStr">
        <is>
          <t>Expected Result (V2)</t>
        </is>
      </c>
      <c r="J3" s="27" t="inlineStr">
        <is>
          <t>Actual Result (V1)</t>
        </is>
      </c>
      <c r="K3" s="27" t="inlineStr">
        <is>
          <t>Status V1</t>
        </is>
      </c>
      <c r="L3" s="27" t="inlineStr">
        <is>
          <t>Actual Result (V2)</t>
        </is>
      </c>
      <c r="M3" s="27" t="inlineStr">
        <is>
          <t>Status V2</t>
        </is>
      </c>
      <c r="N3" s="27" t="inlineStr">
        <is>
          <t>Notes / Defect ID</t>
        </is>
      </c>
    </row>
    <row r="4" ht="55" customHeight="1">
      <c r="A4" s="17" t="inlineStr">
        <is>
          <t>ADM1-001</t>
        </is>
      </c>
      <c r="B4" s="17" t="inlineStr">
        <is>
          <t>Registration</t>
        </is>
      </c>
      <c r="C4" s="17" t="inlineStr">
        <is>
          <t>Applicant completes registration form</t>
        </is>
      </c>
      <c r="D4" s="18" t="inlineStr">
        <is>
          <t>Critical</t>
        </is>
      </c>
      <c r="E4" s="17" t="inlineStr">
        <is>
          <t>Functional</t>
        </is>
      </c>
      <c r="F4" s="17" t="inlineStr">
        <is>
          <t>Application page at /apply accessible.</t>
        </is>
      </c>
      <c r="G4" s="17" t="inlineStr">
        <is>
          <t>1. Navigate to /apply
2. Fill all required fields: Name, Email, Password, Phone, DOB
3. Select preferred department
4. Submit form</t>
        </is>
      </c>
      <c r="H4" s="17" t="inlineStr">
        <is>
          <t>Account created with role=APPLICANT. Status=PENDING. Redirect to /applicant/dashboard.</t>
        </is>
      </c>
      <c r="I4" s="17" t="inlineStr">
        <is>
          <t>N/A (V1 test only)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ADM1-002</t>
        </is>
      </c>
      <c r="B5" s="7" t="inlineStr">
        <is>
          <t>Document Upload</t>
        </is>
      </c>
      <c r="C5" s="7" t="inlineStr">
        <is>
          <t>Upload Ministry Result document</t>
        </is>
      </c>
      <c r="D5" s="18" t="inlineStr">
        <is>
          <t>Critical</t>
        </is>
      </c>
      <c r="E5" s="7" t="inlineStr">
        <is>
          <t>Functional</t>
        </is>
      </c>
      <c r="F5" s="7" t="inlineStr">
        <is>
          <t>Applicant logged in.</t>
        </is>
      </c>
      <c r="G5" s="7" t="inlineStr">
        <is>
          <t>1. Go to /applicant/dashboard
2. Click Upload on "Ministry Result"
3. Select PDF file
4. Submit</t>
        </is>
      </c>
      <c r="H5" s="7" t="inlineStr">
        <is>
          <t>File uploaded. Document status changes to Uploaded.</t>
        </is>
      </c>
      <c r="I5" s="7" t="inlineStr">
        <is>
          <t>N/A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ADM1-003</t>
        </is>
      </c>
      <c r="B6" s="17" t="inlineStr">
        <is>
          <t>Document Upload</t>
        </is>
      </c>
      <c r="C6" s="17" t="inlineStr">
        <is>
          <t>Upload Birth Certificate</t>
        </is>
      </c>
      <c r="D6" s="18" t="inlineStr">
        <is>
          <t>Critical</t>
        </is>
      </c>
      <c r="E6" s="17" t="inlineStr">
        <is>
          <t>Functional</t>
        </is>
      </c>
      <c r="F6" s="17" t="inlineStr">
        <is>
          <t>Applicant logged in.</t>
        </is>
      </c>
      <c r="G6" s="17" t="inlineStr">
        <is>
          <t>Upload Birth Certificate PDF/image</t>
        </is>
      </c>
      <c r="H6" s="17" t="inlineStr">
        <is>
          <t>File stored. Document status = Uploaded.</t>
        </is>
      </c>
      <c r="I6" s="17" t="inlineStr">
        <is>
          <t>N/A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ADM1-004</t>
        </is>
      </c>
      <c r="B7" s="7" t="inlineStr">
        <is>
          <t>Document Upload</t>
        </is>
      </c>
      <c r="C7" s="7" t="inlineStr">
        <is>
          <t>Upload National ID</t>
        </is>
      </c>
      <c r="D7" s="18" t="inlineStr">
        <is>
          <t>Critical</t>
        </is>
      </c>
      <c r="E7" s="7" t="inlineStr">
        <is>
          <t>Functional</t>
        </is>
      </c>
      <c r="F7" s="7" t="inlineStr">
        <is>
          <t>Applicant logged in.</t>
        </is>
      </c>
      <c r="G7" s="7" t="inlineStr">
        <is>
          <t>Upload National ID scan</t>
        </is>
      </c>
      <c r="H7" s="7" t="inlineStr">
        <is>
          <t>File stored. Document status = Uploaded.</t>
        </is>
      </c>
      <c r="I7" s="7" t="inlineStr">
        <is>
          <t>N/A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ADM1-005</t>
        </is>
      </c>
      <c r="B8" s="17" t="inlineStr">
        <is>
          <t>Document Upload</t>
        </is>
      </c>
      <c r="C8" s="17" t="inlineStr">
        <is>
          <t>Upload Registration Fee Receipt</t>
        </is>
      </c>
      <c r="D8" s="18" t="inlineStr">
        <is>
          <t>Critical</t>
        </is>
      </c>
      <c r="E8" s="17" t="inlineStr">
        <is>
          <t>Functional</t>
        </is>
      </c>
      <c r="F8" s="17" t="inlineStr">
        <is>
          <t>Applicant logged in.</t>
        </is>
      </c>
      <c r="G8" s="17" t="inlineStr">
        <is>
          <t>Upload fee receipt document</t>
        </is>
      </c>
      <c r="H8" s="17" t="inlineStr">
        <is>
          <t>File stored. Document status = Uploaded.</t>
        </is>
      </c>
      <c r="I8" s="17" t="inlineStr">
        <is>
          <t>N/A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ADM1-006</t>
        </is>
      </c>
      <c r="B9" s="7" t="inlineStr">
        <is>
          <t>Document Upload</t>
        </is>
      </c>
      <c r="C9" s="7" t="inlineStr">
        <is>
          <t>Invalid file type rejection</t>
        </is>
      </c>
      <c r="D9" s="19" t="inlineStr">
        <is>
          <t>High</t>
        </is>
      </c>
      <c r="E9" s="7" t="inlineStr">
        <is>
          <t>Negative</t>
        </is>
      </c>
      <c r="F9" s="7" t="inlineStr">
        <is>
          <t>Applicant logged in.</t>
        </is>
      </c>
      <c r="G9" s="7" t="inlineStr">
        <is>
          <t>Attempt to upload .exe or .js file as document</t>
        </is>
      </c>
      <c r="H9" s="7" t="inlineStr">
        <is>
          <t>Error: Invalid file type. Upload rejected.</t>
        </is>
      </c>
      <c r="I9" s="7" t="inlineStr">
        <is>
          <t>N/A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ADM1-007</t>
        </is>
      </c>
      <c r="B10" s="17" t="inlineStr">
        <is>
          <t>Document Upload</t>
        </is>
      </c>
      <c r="C10" s="17" t="inlineStr">
        <is>
          <t>File size limit enforcement</t>
        </is>
      </c>
      <c r="D10" s="19" t="inlineStr">
        <is>
          <t>High</t>
        </is>
      </c>
      <c r="E10" s="17" t="inlineStr">
        <is>
          <t>Negative</t>
        </is>
      </c>
      <c r="F10" s="17" t="inlineStr">
        <is>
          <t>Applicant logged in.</t>
        </is>
      </c>
      <c r="G10" s="17" t="inlineStr">
        <is>
          <t>Upload file &gt; 10MB</t>
        </is>
      </c>
      <c r="H10" s="17" t="inlineStr">
        <is>
          <t>V1 BUG: No size validation. Oversized files may crash upload.</t>
        </is>
      </c>
      <c r="I10" s="17" t="inlineStr">
        <is>
          <t>N/A (Fixed in V2)</t>
        </is>
      </c>
      <c r="J10" s="17" t="inlineStr"/>
      <c r="K10" s="17" t="inlineStr"/>
      <c r="L10" s="17" t="inlineStr"/>
      <c r="M10" s="17" t="inlineStr"/>
      <c r="N10" s="17" t="inlineStr">
        <is>
          <t>Known V1 Bug</t>
        </is>
      </c>
    </row>
    <row r="11" ht="55" customHeight="1">
      <c r="A11" s="7" t="inlineStr">
        <is>
          <t>ADM1-008</t>
        </is>
      </c>
      <c r="B11" s="7" t="inlineStr">
        <is>
          <t>Admin Review</t>
        </is>
      </c>
      <c r="C11" s="7" t="inlineStr">
        <is>
          <t>Staff sees pending applicants list</t>
        </is>
      </c>
      <c r="D11" s="18" t="inlineStr">
        <is>
          <t>Critical</t>
        </is>
      </c>
      <c r="E11" s="7" t="inlineStr">
        <is>
          <t>Functional</t>
        </is>
      </c>
      <c r="F11" s="7" t="inlineStr">
        <is>
          <t>Staff (Admissions Dept) logged in. Pending applicants exist.</t>
        </is>
      </c>
      <c r="G11" s="7" t="inlineStr">
        <is>
          <t>Navigate to /admin/admissions
View list of applicants</t>
        </is>
      </c>
      <c r="H11" s="7" t="inlineStr">
        <is>
          <t>Table shows all PENDING applicants with name, email, submitted docs.</t>
        </is>
      </c>
      <c r="I11" s="7" t="inlineStr">
        <is>
          <t>N/A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ADM1-009</t>
        </is>
      </c>
      <c r="B12" s="17" t="inlineStr">
        <is>
          <t>Admin Review</t>
        </is>
      </c>
      <c r="C12" s="17" t="inlineStr">
        <is>
          <t>Staff views applicant profile details</t>
        </is>
      </c>
      <c r="D12" s="19" t="inlineStr">
        <is>
          <t>High</t>
        </is>
      </c>
      <c r="E12" s="17" t="inlineStr">
        <is>
          <t>Functional</t>
        </is>
      </c>
      <c r="F12" s="17" t="inlineStr">
        <is>
          <t>Pending applicants exist in list.</t>
        </is>
      </c>
      <c r="G12" s="17" t="inlineStr">
        <is>
          <t>Click on applicant row
Drawer opens with profile</t>
        </is>
      </c>
      <c r="H12" s="17" t="inlineStr">
        <is>
          <t>V1: Basic profile shown. Only Accept/Reject buttons.</t>
        </is>
      </c>
      <c r="I12" s="17" t="inlineStr">
        <is>
          <t>N/A (V1 only — V2 adds multi-stage pipeline)</t>
        </is>
      </c>
      <c r="J12" s="17" t="inlineStr"/>
      <c r="K12" s="17" t="inlineStr"/>
      <c r="L12" s="17" t="inlineStr"/>
      <c r="M12" s="17" t="inlineStr"/>
      <c r="N12" s="17" t="inlineStr">
        <is>
          <t>V1 has only 2 actions vs V2 multi-stage</t>
        </is>
      </c>
    </row>
    <row r="13" ht="55" customHeight="1">
      <c r="A13" s="7" t="inlineStr">
        <is>
          <t>ADM1-010</t>
        </is>
      </c>
      <c r="B13" s="7" t="inlineStr">
        <is>
          <t>Approval</t>
        </is>
      </c>
      <c r="C13" s="7" t="inlineStr">
        <is>
          <t>Staff accepts applicant — role changes to STUDENT</t>
        </is>
      </c>
      <c r="D13" s="18" t="inlineStr">
        <is>
          <t>Critical</t>
        </is>
      </c>
      <c r="E13" s="7" t="inlineStr">
        <is>
          <t>Functional</t>
        </is>
      </c>
      <c r="F13" s="7" t="inlineStr">
        <is>
          <t>Applicant fully submitted all docs.</t>
        </is>
      </c>
      <c r="G13" s="7" t="inlineStr">
        <is>
          <t>Open applicant profile
Click "Accept" button
Confirm dialog</t>
        </is>
      </c>
      <c r="H13" s="7" t="inlineStr">
        <is>
          <t>Applicant role changes to STUDENT. Student ID assigned. Class allocated. Redirect/refresh.</t>
        </is>
      </c>
      <c r="I13" s="7" t="inlineStr">
        <is>
          <t>N/A</t>
        </is>
      </c>
      <c r="J13" s="7" t="inlineStr"/>
      <c r="K13" s="7" t="inlineStr"/>
      <c r="L13" s="7" t="inlineStr"/>
      <c r="M13" s="7" t="inlineStr"/>
      <c r="N13" s="7" t="inlineStr">
        <is>
          <t>Core admission flow</t>
        </is>
      </c>
    </row>
    <row r="14" ht="55" customHeight="1">
      <c r="A14" s="17" t="inlineStr">
        <is>
          <t>ADM1-011</t>
        </is>
      </c>
      <c r="B14" s="17" t="inlineStr">
        <is>
          <t>Approval</t>
        </is>
      </c>
      <c r="C14" s="17" t="inlineStr">
        <is>
          <t>Accepted student appears in student list</t>
        </is>
      </c>
      <c r="D14" s="19" t="inlineStr">
        <is>
          <t>High</t>
        </is>
      </c>
      <c r="E14" s="17" t="inlineStr">
        <is>
          <t>Functional</t>
        </is>
      </c>
      <c r="F14" s="17" t="inlineStr">
        <is>
          <t>Staff accepted an applicant.</t>
        </is>
      </c>
      <c r="G14" s="17" t="inlineStr">
        <is>
          <t>Navigate to student management
Search for newly accepted student</t>
        </is>
      </c>
      <c r="H14" s="17" t="inlineStr">
        <is>
          <t>Student appears in /admin/affairs with role=STUDENT.</t>
        </is>
      </c>
      <c r="I14" s="17" t="inlineStr">
        <is>
          <t>N/A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ADM1-012</t>
        </is>
      </c>
      <c r="B15" s="7" t="inlineStr">
        <is>
          <t>Rejection</t>
        </is>
      </c>
      <c r="C15" s="7" t="inlineStr">
        <is>
          <t>Staff rejects applicant</t>
        </is>
      </c>
      <c r="D15" s="19" t="inlineStr">
        <is>
          <t>High</t>
        </is>
      </c>
      <c r="E15" s="7" t="inlineStr">
        <is>
          <t>Functional</t>
        </is>
      </c>
      <c r="F15" s="7" t="inlineStr">
        <is>
          <t>Pending applicant exists.</t>
        </is>
      </c>
      <c r="G15" s="7" t="inlineStr">
        <is>
          <t>Open applicant
Click "Reject"
Enter rejection reason
Confirm</t>
        </is>
      </c>
      <c r="H15" s="7" t="inlineStr">
        <is>
          <t>Status = REJECTED. Applicant sees rejection on dashboard.</t>
        </is>
      </c>
      <c r="I15" s="7" t="inlineStr">
        <is>
          <t>N/A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ADM1-013</t>
        </is>
      </c>
      <c r="B16" s="17" t="inlineStr">
        <is>
          <t>Rejection</t>
        </is>
      </c>
      <c r="C16" s="17" t="inlineStr">
        <is>
          <t>Rejected applicant cannot re-apply with same email</t>
        </is>
      </c>
      <c r="D16" s="20" t="inlineStr">
        <is>
          <t>Medium</t>
        </is>
      </c>
      <c r="E16" s="17" t="inlineStr">
        <is>
          <t>Negative</t>
        </is>
      </c>
      <c r="F16" s="17" t="inlineStr">
        <is>
          <t>Applicant rejected.</t>
        </is>
      </c>
      <c r="G16" s="17" t="inlineStr">
        <is>
          <t>Attempt to register again with same email</t>
        </is>
      </c>
      <c r="H16" s="17" t="inlineStr">
        <is>
          <t>V1 BUG: May allow duplicate registration.</t>
        </is>
      </c>
      <c r="I16" s="17" t="inlineStr">
        <is>
          <t>V2 FIX: Blocks duplicate email registration.</t>
        </is>
      </c>
      <c r="J16" s="17" t="inlineStr"/>
      <c r="K16" s="17" t="inlineStr"/>
      <c r="L16" s="17" t="inlineStr"/>
      <c r="M16" s="17" t="inlineStr"/>
      <c r="N16" s="17" t="inlineStr">
        <is>
          <t>Known V1 Bug</t>
        </is>
      </c>
    </row>
    <row r="17" ht="55" customHeight="1">
      <c r="A17" s="7" t="inlineStr">
        <is>
          <t>ADM1-014</t>
        </is>
      </c>
      <c r="B17" s="7" t="inlineStr">
        <is>
          <t>Status Tracking</t>
        </is>
      </c>
      <c r="C17" s="7" t="inlineStr">
        <is>
          <t>Applicant sees PENDING status on dashboard</t>
        </is>
      </c>
      <c r="D17" s="19" t="inlineStr">
        <is>
          <t>High</t>
        </is>
      </c>
      <c r="E17" s="7" t="inlineStr">
        <is>
          <t>Functional</t>
        </is>
      </c>
      <c r="F17" s="7" t="inlineStr">
        <is>
          <t>Applicant registered, not yet reviewed.</t>
        </is>
      </c>
      <c r="G17" s="7" t="inlineStr">
        <is>
          <t>Login as applicant
View dashboard</t>
        </is>
      </c>
      <c r="H17" s="7" t="inlineStr">
        <is>
          <t>Status: PENDING shown. Simple text display.</t>
        </is>
      </c>
      <c r="I17" s="7" t="inlineStr">
        <is>
          <t>N/A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ADM1-015</t>
        </is>
      </c>
      <c r="B18" s="17" t="inlineStr">
        <is>
          <t>Notifications</t>
        </is>
      </c>
      <c r="C18" s="17" t="inlineStr">
        <is>
          <t>No email notification sent on V1 acceptance</t>
        </is>
      </c>
      <c r="D18" s="20" t="inlineStr">
        <is>
          <t>Medium</t>
        </is>
      </c>
      <c r="E18" s="17" t="inlineStr">
        <is>
          <t>Functional</t>
        </is>
      </c>
      <c r="F18" s="17" t="inlineStr">
        <is>
          <t>V1 system.</t>
        </is>
      </c>
      <c r="G18" s="17" t="inlineStr">
        <is>
          <t>Accept applicant
Check for email</t>
        </is>
      </c>
      <c r="H18" s="17" t="inlineStr">
        <is>
          <t>V1: No email notification system implemented.</t>
        </is>
      </c>
      <c r="I18" s="17" t="inlineStr">
        <is>
          <t>V2 FIX: Congratulations email sent automatically.</t>
        </is>
      </c>
      <c r="J18" s="17" t="inlineStr"/>
      <c r="K18" s="17" t="inlineStr"/>
      <c r="L18" s="17" t="inlineStr"/>
      <c r="M18" s="17" t="inlineStr"/>
      <c r="N18" s="17" t="inlineStr">
        <is>
          <t>V1 Gap</t>
        </is>
      </c>
    </row>
    <row r="19" ht="55" customHeight="1">
      <c r="A19" s="7" t="inlineStr">
        <is>
          <t>ADM1-016</t>
        </is>
      </c>
      <c r="B19" s="7" t="inlineStr">
        <is>
          <t>Audit</t>
        </is>
      </c>
      <c r="C19" s="7" t="inlineStr">
        <is>
          <t>Acceptance action logged in audit log</t>
        </is>
      </c>
      <c r="D19" s="19" t="inlineStr">
        <is>
          <t>High</t>
        </is>
      </c>
      <c r="E19" s="7" t="inlineStr">
        <is>
          <t>Functional</t>
        </is>
      </c>
      <c r="F19" s="7" t="inlineStr">
        <is>
          <t>SuperAdmin can view audit logs.</t>
        </is>
      </c>
      <c r="G19" s="7" t="inlineStr">
        <is>
          <t>Accept applicant
Check AuditLog table</t>
        </is>
      </c>
      <c r="H19" s="7" t="inlineStr">
        <is>
          <t>V1 BUG: Audit log may not capture admission events.</t>
        </is>
      </c>
      <c r="I19" s="7" t="inlineStr">
        <is>
          <t>V2 FIX: ACCEPT_APPLICANT event recorded with timestamp and actor.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ADM1-017</t>
        </is>
      </c>
      <c r="B20" s="17" t="inlineStr">
        <is>
          <t>Security</t>
        </is>
      </c>
      <c r="C20" s="17" t="inlineStr">
        <is>
          <t>Applicant cannot self-accept own application</t>
        </is>
      </c>
      <c r="D20" s="18" t="inlineStr">
        <is>
          <t>Critical</t>
        </is>
      </c>
      <c r="E20" s="17" t="inlineStr">
        <is>
          <t>Security</t>
        </is>
      </c>
      <c r="F20" s="17" t="inlineStr">
        <is>
          <t>Applicant logged in.</t>
        </is>
      </c>
      <c r="G20" s="17" t="inlineStr">
        <is>
          <t>Call PUT /api/admissions/{id}/accept via Postman/DevTools with applicant JWT</t>
        </is>
      </c>
      <c r="H20" s="17" t="inlineStr">
        <is>
          <t>403 Forbidden. Only staff/admin can approve.</t>
        </is>
      </c>
      <c r="I20" s="17" t="inlineStr">
        <is>
          <t>Same.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ADM1-018</t>
        </is>
      </c>
      <c r="B21" s="7" t="inlineStr">
        <is>
          <t>Performance</t>
        </is>
      </c>
      <c r="C21" s="7" t="inlineStr">
        <is>
          <t>Admissions list loads within 3 seconds with 500 applicants</t>
        </is>
      </c>
      <c r="D21" s="20" t="inlineStr">
        <is>
          <t>Medium</t>
        </is>
      </c>
      <c r="E21" s="7" t="inlineStr">
        <is>
          <t>Performance</t>
        </is>
      </c>
      <c r="F21" s="7" t="inlineStr">
        <is>
          <t>500 applicant records in DB.</t>
        </is>
      </c>
      <c r="G21" s="7" t="inlineStr">
        <is>
          <t>Load /admin/admissions
Measure load time</t>
        </is>
      </c>
      <c r="H21" s="7" t="inlineStr">
        <is>
          <t>V1 BUG: No pagination. Full table renders causing slow load.</t>
        </is>
      </c>
      <c r="I21" s="7" t="inlineStr">
        <is>
          <t>V2 FIX: Paginated / virtualized list. &lt;3s load.</t>
        </is>
      </c>
      <c r="J21" s="7" t="inlineStr"/>
      <c r="K21" s="7" t="inlineStr"/>
      <c r="L21" s="7" t="inlineStr"/>
      <c r="M21" s="7" t="inlineStr"/>
      <c r="N21" s="7" t="inlineStr"/>
    </row>
    <row r="22" ht="55" customHeight="1">
      <c r="A22" s="17" t="inlineStr">
        <is>
          <t>ADM1-019</t>
        </is>
      </c>
      <c r="B22" s="17" t="inlineStr">
        <is>
          <t>UI</t>
        </is>
      </c>
      <c r="C22" s="17" t="inlineStr">
        <is>
          <t>Score slider displays correctly</t>
        </is>
      </c>
      <c r="D22" s="28" t="inlineStr">
        <is>
          <t>Low</t>
        </is>
      </c>
      <c r="E22" s="17" t="inlineStr">
        <is>
          <t>UI</t>
        </is>
      </c>
      <c r="F22" s="17" t="inlineStr">
        <is>
          <t>Admissions page loaded.</t>
        </is>
      </c>
      <c r="G22" s="17" t="inlineStr">
        <is>
          <t>Open applicant drawer
Check score chip display</t>
        </is>
      </c>
      <c r="H22" s="17" t="inlineStr">
        <is>
          <t>Score shown as number.</t>
        </is>
      </c>
      <c r="I22" s="17" t="inlineStr">
        <is>
          <t>V2: Color-coded score chip (MUI Chip with icon) and slider.</t>
        </is>
      </c>
      <c r="J22" s="17" t="inlineStr"/>
      <c r="K22" s="17" t="inlineStr"/>
      <c r="L22" s="17" t="inlineStr"/>
      <c r="M22" s="17" t="inlineStr"/>
      <c r="N22" s="17" t="inlineStr"/>
    </row>
    <row r="23" ht="55" customHeight="1">
      <c r="A23" s="7" t="inlineStr">
        <is>
          <t>ADM1-020</t>
        </is>
      </c>
      <c r="B23" s="7" t="inlineStr">
        <is>
          <t>Department</t>
        </is>
      </c>
      <c r="C23" s="7" t="inlineStr">
        <is>
          <t>Applicant can select department preference</t>
        </is>
      </c>
      <c r="D23" s="19" t="inlineStr">
        <is>
          <t>High</t>
        </is>
      </c>
      <c r="E23" s="7" t="inlineStr">
        <is>
          <t>Functional</t>
        </is>
      </c>
      <c r="F23" s="7" t="inlineStr">
        <is>
          <t>Departments exist in system.</t>
        </is>
      </c>
      <c r="G23" s="7" t="inlineStr">
        <is>
          <t>During registration, open department dropdown
Select preferred department
Submit</t>
        </is>
      </c>
      <c r="H23" s="7" t="inlineStr">
        <is>
          <t>Department preference saved to application.</t>
        </is>
      </c>
      <c r="I23" s="7" t="inlineStr">
        <is>
          <t>Same.</t>
        </is>
      </c>
      <c r="J23" s="7" t="inlineStr"/>
      <c r="K23" s="7" t="inlineStr"/>
      <c r="L23" s="7" t="inlineStr"/>
      <c r="M23" s="7" t="inlineStr"/>
      <c r="N23" s="7" t="inlineStr"/>
    </row>
    <row r="24" ht="55" customHeight="1">
      <c r="A24" s="17" t="inlineStr">
        <is>
          <t>ADM1-021</t>
        </is>
      </c>
      <c r="B24" s="17" t="inlineStr">
        <is>
          <t>Edge Cases</t>
        </is>
      </c>
      <c r="C24" s="17" t="inlineStr">
        <is>
          <t>Submit application with all optional fields empty</t>
        </is>
      </c>
      <c r="D24" s="20" t="inlineStr">
        <is>
          <t>Medium</t>
        </is>
      </c>
      <c r="E24" s="17" t="inlineStr">
        <is>
          <t>Boundary</t>
        </is>
      </c>
      <c r="F24" s="17" t="inlineStr">
        <is>
          <t>Registration page open.</t>
        </is>
      </c>
      <c r="G24" s="17" t="inlineStr">
        <is>
          <t>Fill only required fields
Leave optional fields blank
Submit</t>
        </is>
      </c>
      <c r="H24" s="17" t="inlineStr">
        <is>
          <t>Application submitted. Optional fields stored as null.</t>
        </is>
      </c>
      <c r="I24" s="17" t="inlineStr">
        <is>
          <t>Same.</t>
        </is>
      </c>
      <c r="J24" s="17" t="inlineStr"/>
      <c r="K24" s="17" t="inlineStr"/>
      <c r="L24" s="17" t="inlineStr"/>
      <c r="M24" s="17" t="inlineStr"/>
      <c r="N24" s="17" t="inlineStr"/>
    </row>
    <row r="25" ht="55" customHeight="1">
      <c r="A25" s="7" t="inlineStr">
        <is>
          <t>ADM1-022</t>
        </is>
      </c>
      <c r="B25" s="7" t="inlineStr">
        <is>
          <t>Edge Cases</t>
        </is>
      </c>
      <c r="C25" s="7" t="inlineStr">
        <is>
          <t>Duplicate application submission blocked</t>
        </is>
      </c>
      <c r="D25" s="19" t="inlineStr">
        <is>
          <t>High</t>
        </is>
      </c>
      <c r="E25" s="7" t="inlineStr">
        <is>
          <t>Negative</t>
        </is>
      </c>
      <c r="F25" s="7" t="inlineStr">
        <is>
          <t>Applicant already has active application.</t>
        </is>
      </c>
      <c r="G25" s="7" t="inlineStr">
        <is>
          <t>Attempt to submit another application</t>
        </is>
      </c>
      <c r="H25" s="7" t="inlineStr">
        <is>
          <t>V1 BUG: May create duplicate applications.</t>
        </is>
      </c>
      <c r="I25" s="7" t="inlineStr">
        <is>
          <t>V2 FIX: One application per user enforced.</t>
        </is>
      </c>
      <c r="J25" s="7" t="inlineStr"/>
      <c r="K25" s="7" t="inlineStr"/>
      <c r="L25" s="7" t="inlineStr"/>
      <c r="M25" s="7" t="inlineStr"/>
      <c r="N25" s="7" t="inlineStr">
        <is>
          <t>Known V1 Bug</t>
        </is>
      </c>
    </row>
    <row r="27">
      <c r="A27" s="29" t="inlineStr">
        <is>
          <t>TOTAL TEST CASES: 22</t>
        </is>
      </c>
      <c r="B27" s="22" t="n"/>
      <c r="C27" s="22" t="n"/>
      <c r="D27" s="22" t="n"/>
      <c r="E27" s="23">
        <f>COUNTIF(K4:K25,"✅ PASS")</f>
        <v/>
      </c>
      <c r="F27" s="24">
        <f>COUNTIF(K4:K25,"❌ FAIL")</f>
        <v/>
      </c>
      <c r="G27" s="22" t="inlineStr">
        <is>
          <t>V1 Pass%</t>
        </is>
      </c>
      <c r="H27" s="25">
        <f>IFERROR(E27/(22)*100,0)&amp;"%"</f>
        <v/>
      </c>
      <c r="I27" s="23">
        <f>COUNTIF(M4:M25,"✅ PASS")</f>
        <v/>
      </c>
      <c r="J27" s="24">
        <f>COUNTIF(M4:M25,"❌ FAIL")</f>
        <v/>
      </c>
      <c r="K27" s="22" t="inlineStr">
        <is>
          <t>V2 Pass%</t>
        </is>
      </c>
      <c r="L27" s="25">
        <f>IFERROR(I27/(22)*100,0)&amp;"%"</f>
        <v/>
      </c>
      <c r="M27" s="22" t="n"/>
      <c r="N27" s="22" t="n"/>
    </row>
  </sheetData>
  <mergeCells count="3">
    <mergeCell ref="A27:D27"/>
    <mergeCell ref="A2:N2"/>
    <mergeCell ref="A1:N1"/>
  </mergeCells>
  <dataValidations count="2">
    <dataValidation sqref="K4:K25" showDropDown="0" showInputMessage="0" showErrorMessage="0" allowBlank="0" type="list">
      <formula1>"✅ PASS,❌ FAIL,🔶 BLOCKED,⬜ NOT RUN,➡️ N/A"</formula1>
    </dataValidation>
    <dataValidation sqref="M4:M25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30" t="inlineStr">
        <is>
          <t>🧪  Admissions Module — V2 (Multi-Stage Pipeline)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31" t="inlineStr">
        <is>
          <t>Test ID</t>
        </is>
      </c>
      <c r="B3" s="31" t="inlineStr">
        <is>
          <t>Category</t>
        </is>
      </c>
      <c r="C3" s="31" t="inlineStr">
        <is>
          <t>Test Case Name</t>
        </is>
      </c>
      <c r="D3" s="31" t="inlineStr">
        <is>
          <t>Priority</t>
        </is>
      </c>
      <c r="E3" s="31" t="inlineStr">
        <is>
          <t>Type</t>
        </is>
      </c>
      <c r="F3" s="31" t="inlineStr">
        <is>
          <t>Pre-conditions</t>
        </is>
      </c>
      <c r="G3" s="31" t="inlineStr">
        <is>
          <t>Test Steps</t>
        </is>
      </c>
      <c r="H3" s="31" t="inlineStr">
        <is>
          <t>Expected Result (V1)</t>
        </is>
      </c>
      <c r="I3" s="31" t="inlineStr">
        <is>
          <t>Expected Result (V2)</t>
        </is>
      </c>
      <c r="J3" s="31" t="inlineStr">
        <is>
          <t>Actual Result (V1)</t>
        </is>
      </c>
      <c r="K3" s="31" t="inlineStr">
        <is>
          <t>Status V1</t>
        </is>
      </c>
      <c r="L3" s="31" t="inlineStr">
        <is>
          <t>Actual Result (V2)</t>
        </is>
      </c>
      <c r="M3" s="31" t="inlineStr">
        <is>
          <t>Status V2</t>
        </is>
      </c>
      <c r="N3" s="31" t="inlineStr">
        <is>
          <t>Notes / Defect ID</t>
        </is>
      </c>
    </row>
    <row r="4" ht="55" customHeight="1">
      <c r="A4" s="17" t="inlineStr">
        <is>
          <t>ADM2-001</t>
        </is>
      </c>
      <c r="B4" s="17" t="inlineStr">
        <is>
          <t>Pipeline</t>
        </is>
      </c>
      <c r="C4" s="17" t="inlineStr">
        <is>
          <t>New application starts at PENDING stage</t>
        </is>
      </c>
      <c r="D4" s="18" t="inlineStr">
        <is>
          <t>Critical</t>
        </is>
      </c>
      <c r="E4" s="17" t="inlineStr">
        <is>
          <t>Functional</t>
        </is>
      </c>
      <c r="F4" s="17" t="inlineStr">
        <is>
          <t>Applicant registered.</t>
        </is>
      </c>
      <c r="G4" s="17" t="inlineStr">
        <is>
          <t>Check application status after registration</t>
        </is>
      </c>
      <c r="H4" s="17" t="inlineStr">
        <is>
          <t>N/A (V2 only)</t>
        </is>
      </c>
      <c r="I4" s="17" t="inlineStr">
        <is>
          <t>Status = PENDING. Stepper shows Stage 1 active.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ADM2-002</t>
        </is>
      </c>
      <c r="B5" s="7" t="inlineStr">
        <is>
          <t>Pipeline</t>
        </is>
      </c>
      <c r="C5" s="7" t="inlineStr">
        <is>
          <t>Staff moves application to UNDER_REVIEW</t>
        </is>
      </c>
      <c r="D5" s="18" t="inlineStr">
        <is>
          <t>Critical</t>
        </is>
      </c>
      <c r="E5" s="7" t="inlineStr">
        <is>
          <t>Functional</t>
        </is>
      </c>
      <c r="F5" s="7" t="inlineStr">
        <is>
          <t>Application in PENDING. Staff in Admissions dept logged in.</t>
        </is>
      </c>
      <c r="G5" s="7" t="inlineStr">
        <is>
          <t>Open applicant
Click "Mark Under Review"</t>
        </is>
      </c>
      <c r="H5" s="7" t="inlineStr">
        <is>
          <t>N/A</t>
        </is>
      </c>
      <c r="I5" s="7" t="inlineStr">
        <is>
          <t>Status = UNDER_REVIEW. Stepper advances to Stage 2. In-app notification sent to applicant.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ADM2-003</t>
        </is>
      </c>
      <c r="B6" s="17" t="inlineStr">
        <is>
          <t>Pipeline</t>
        </is>
      </c>
      <c r="C6" s="17" t="inlineStr">
        <is>
          <t>Staff schedules entrance exam</t>
        </is>
      </c>
      <c r="D6" s="18" t="inlineStr">
        <is>
          <t>Critical</t>
        </is>
      </c>
      <c r="E6" s="17" t="inlineStr">
        <is>
          <t>Functional</t>
        </is>
      </c>
      <c r="F6" s="17" t="inlineStr">
        <is>
          <t>Application = UNDER_REVIEW.</t>
        </is>
      </c>
      <c r="G6" s="17" t="inlineStr">
        <is>
          <t>Open drawer → Stage 2 panel
Fill exam date, location, notes
Click "Schedule Exam"</t>
        </is>
      </c>
      <c r="H6" s="17" t="inlineStr">
        <is>
          <t>N/A</t>
        </is>
      </c>
      <c r="I6" s="17" t="inlineStr">
        <is>
          <t>Status = EXAM_SCHEDULED. examDate/examLocation/examNotes saved. Email sent. In-app notification created.</t>
        </is>
      </c>
      <c r="J6" s="17" t="inlineStr"/>
      <c r="K6" s="17" t="inlineStr"/>
      <c r="L6" s="17" t="inlineStr"/>
      <c r="M6" s="17" t="inlineStr"/>
      <c r="N6" s="17" t="inlineStr">
        <is>
          <t>POST /admissions/:id/schedule-exam</t>
        </is>
      </c>
    </row>
    <row r="7" ht="55" customHeight="1">
      <c r="A7" s="7" t="inlineStr">
        <is>
          <t>ADM2-004</t>
        </is>
      </c>
      <c r="B7" s="7" t="inlineStr">
        <is>
          <t>Pipeline</t>
        </is>
      </c>
      <c r="C7" s="7" t="inlineStr">
        <is>
          <t>Applicant sees exam info card on dashboard</t>
        </is>
      </c>
      <c r="D7" s="19" t="inlineStr">
        <is>
          <t>High</t>
        </is>
      </c>
      <c r="E7" s="7" t="inlineStr">
        <is>
          <t>Functional</t>
        </is>
      </c>
      <c r="F7" s="7" t="inlineStr">
        <is>
          <t>Exam scheduled for applicant.</t>
        </is>
      </c>
      <c r="G7" s="7" t="inlineStr">
        <is>
          <t>Login as applicant
View /applicant/dashboard</t>
        </is>
      </c>
      <c r="H7" s="7" t="inlineStr">
        <is>
          <t>N/A</t>
        </is>
      </c>
      <c r="I7" s="7" t="inlineStr">
        <is>
          <t>Beautiful Exam Info Card shown: date, time, location. Stage 3 active in stepper.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ADM2-005</t>
        </is>
      </c>
      <c r="B8" s="17" t="inlineStr">
        <is>
          <t>Pipeline</t>
        </is>
      </c>
      <c r="C8" s="17" t="inlineStr">
        <is>
          <t>Staff schedules interview after exam stage</t>
        </is>
      </c>
      <c r="D8" s="18" t="inlineStr">
        <is>
          <t>Critical</t>
        </is>
      </c>
      <c r="E8" s="17" t="inlineStr">
        <is>
          <t>Functional</t>
        </is>
      </c>
      <c r="F8" s="17" t="inlineStr">
        <is>
          <t>Application = EXAM_SCHEDULED.</t>
        </is>
      </c>
      <c r="G8" s="17" t="inlineStr">
        <is>
          <t>Open drawer → Stage 3 panel
Fill interview date, location, notes
Click "Schedule Interview"</t>
        </is>
      </c>
      <c r="H8" s="17" t="inlineStr">
        <is>
          <t>N/A</t>
        </is>
      </c>
      <c r="I8" s="17" t="inlineStr">
        <is>
          <t>Status = INTERVIEW_SCHEDULED. interviewDate/Location/Notes saved. Email + notification sent.</t>
        </is>
      </c>
      <c r="J8" s="17" t="inlineStr"/>
      <c r="K8" s="17" t="inlineStr"/>
      <c r="L8" s="17" t="inlineStr"/>
      <c r="M8" s="17" t="inlineStr"/>
      <c r="N8" s="17" t="inlineStr">
        <is>
          <t>POST /admissions/:id/schedule-interview</t>
        </is>
      </c>
    </row>
    <row r="9" ht="55" customHeight="1">
      <c r="A9" s="7" t="inlineStr">
        <is>
          <t>ADM2-006</t>
        </is>
      </c>
      <c r="B9" s="7" t="inlineStr">
        <is>
          <t>Pipeline</t>
        </is>
      </c>
      <c r="C9" s="7" t="inlineStr">
        <is>
          <t>Applicant sees interview info card</t>
        </is>
      </c>
      <c r="D9" s="19" t="inlineStr">
        <is>
          <t>High</t>
        </is>
      </c>
      <c r="E9" s="7" t="inlineStr">
        <is>
          <t>Functional</t>
        </is>
      </c>
      <c r="F9" s="7" t="inlineStr">
        <is>
          <t>Interview scheduled.</t>
        </is>
      </c>
      <c r="G9" s="7" t="inlineStr">
        <is>
          <t>Login as applicant → /applicant/dashboard</t>
        </is>
      </c>
      <c r="H9" s="7" t="inlineStr">
        <is>
          <t>N/A</t>
        </is>
      </c>
      <c r="I9" s="7" t="inlineStr">
        <is>
          <t>Interview Info Card visible with date, time, location. Stage 4 active.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ADM2-007</t>
        </is>
      </c>
      <c r="B10" s="17" t="inlineStr">
        <is>
          <t>Pipeline</t>
        </is>
      </c>
      <c r="C10" s="17" t="inlineStr">
        <is>
          <t>Final acceptance after interview stage</t>
        </is>
      </c>
      <c r="D10" s="18" t="inlineStr">
        <is>
          <t>Critical</t>
        </is>
      </c>
      <c r="E10" s="17" t="inlineStr">
        <is>
          <t>Functional</t>
        </is>
      </c>
      <c r="F10" s="17" t="inlineStr">
        <is>
          <t>Application = INTERVIEW_SCHEDULED.</t>
        </is>
      </c>
      <c r="G10" s="17" t="inlineStr">
        <is>
          <t>Open drawer → Stage 4 panel
Click "Accept"</t>
        </is>
      </c>
      <c r="H10" s="17" t="inlineStr">
        <is>
          <t>N/A</t>
        </is>
      </c>
      <c r="I10" s="17" t="inlineStr">
        <is>
          <t>Status = ACCEPTED. Role changed to STUDENT. Congratulations email sent. Enrollment button appears on applicant dashboard.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ADM2-008</t>
        </is>
      </c>
      <c r="B11" s="7" t="inlineStr">
        <is>
          <t>Pipeline</t>
        </is>
      </c>
      <c r="C11" s="7" t="inlineStr">
        <is>
          <t>Rejection at any pipeline stage</t>
        </is>
      </c>
      <c r="D11" s="19" t="inlineStr">
        <is>
          <t>High</t>
        </is>
      </c>
      <c r="E11" s="7" t="inlineStr">
        <is>
          <t>Functional</t>
        </is>
      </c>
      <c r="F11" s="7" t="inlineStr">
        <is>
          <t>Application in any active stage.</t>
        </is>
      </c>
      <c r="G11" s="7" t="inlineStr">
        <is>
          <t>Open drawer → Click "Reject"
Provide reason</t>
        </is>
      </c>
      <c r="H11" s="7" t="inlineStr">
        <is>
          <t>N/A</t>
        </is>
      </c>
      <c r="I11" s="7" t="inlineStr">
        <is>
          <t>Status = REJECTED. Polite rejection email sent. Pipeline stepper shows rejection state.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ADM2-009</t>
        </is>
      </c>
      <c r="B12" s="17" t="inlineStr">
        <is>
          <t>Pipeline</t>
        </is>
      </c>
      <c r="C12" s="17" t="inlineStr">
        <is>
          <t>Cannot skip pipeline stages</t>
        </is>
      </c>
      <c r="D12" s="18" t="inlineStr">
        <is>
          <t>Critical</t>
        </is>
      </c>
      <c r="E12" s="17" t="inlineStr">
        <is>
          <t>Negative</t>
        </is>
      </c>
      <c r="F12" s="17" t="inlineStr">
        <is>
          <t>Application = PENDING.</t>
        </is>
      </c>
      <c r="G12" s="17" t="inlineStr">
        <is>
          <t>Attempt to call POST /admissions/:id/schedule-interview directly (skipping exam)</t>
        </is>
      </c>
      <c r="H12" s="17" t="inlineStr">
        <is>
          <t>N/A</t>
        </is>
      </c>
      <c r="I12" s="17" t="inlineStr">
        <is>
          <t>400 Bad Request: Application must be in UNDER_REVIEW status to schedule exam.</t>
        </is>
      </c>
      <c r="J12" s="17" t="inlineStr"/>
      <c r="K12" s="17" t="inlineStr"/>
      <c r="L12" s="17" t="inlineStr"/>
      <c r="M12" s="17" t="inlineStr"/>
      <c r="N12" s="17" t="inlineStr">
        <is>
          <t>Stage validation required</t>
        </is>
      </c>
    </row>
    <row r="13" ht="55" customHeight="1">
      <c r="A13" s="7" t="inlineStr">
        <is>
          <t>ADM2-010</t>
        </is>
      </c>
      <c r="B13" s="7" t="inlineStr">
        <is>
          <t>Stats Dashboard</t>
        </is>
      </c>
      <c r="C13" s="7" t="inlineStr">
        <is>
          <t>Stats cards show correct counts per stage</t>
        </is>
      </c>
      <c r="D13" s="19" t="inlineStr">
        <is>
          <t>High</t>
        </is>
      </c>
      <c r="E13" s="7" t="inlineStr">
        <is>
          <t>Functional</t>
        </is>
      </c>
      <c r="F13" s="7" t="inlineStr">
        <is>
          <t>Multiple applications in different stages.</t>
        </is>
      </c>
      <c r="G13" s="7" t="inlineStr">
        <is>
          <t>Load /admin/admissions
View 6 colored stat cards</t>
        </is>
      </c>
      <c r="H13" s="7" t="inlineStr">
        <is>
          <t>N/A</t>
        </is>
      </c>
      <c r="I13" s="7" t="inlineStr">
        <is>
          <t>Each card shows correct count: PENDING, UNDER_REVIEW, EXAM_SCHEDULED, INTERVIEW_SCHEDULED, ACCEPTED, REJECTED.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ADM2-011</t>
        </is>
      </c>
      <c r="B14" s="17" t="inlineStr">
        <is>
          <t>Filtering</t>
        </is>
      </c>
      <c r="C14" s="17" t="inlineStr">
        <is>
          <t>Tab filtering by stage works correctly</t>
        </is>
      </c>
      <c r="D14" s="19" t="inlineStr">
        <is>
          <t>High</t>
        </is>
      </c>
      <c r="E14" s="17" t="inlineStr">
        <is>
          <t>Functional</t>
        </is>
      </c>
      <c r="F14" s="17" t="inlineStr">
        <is>
          <t>Applications exist in multiple stages.</t>
        </is>
      </c>
      <c r="G14" s="17" t="inlineStr">
        <is>
          <t>Click tab for each stage
Verify table updates</t>
        </is>
      </c>
      <c r="H14" s="17" t="inlineStr">
        <is>
          <t>N/A</t>
        </is>
      </c>
      <c r="I14" s="17" t="inlineStr">
        <is>
          <t>Only applications in selected stage shown. Badge shows count.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ADM2-012</t>
        </is>
      </c>
      <c r="B15" s="7" t="inlineStr">
        <is>
          <t>UI</t>
        </is>
      </c>
      <c r="C15" s="7" t="inlineStr">
        <is>
          <t>Animated progress stepper renders correctly</t>
        </is>
      </c>
      <c r="D15" s="20" t="inlineStr">
        <is>
          <t>Medium</t>
        </is>
      </c>
      <c r="E15" s="7" t="inlineStr">
        <is>
          <t>UI</t>
        </is>
      </c>
      <c r="F15" s="7" t="inlineStr">
        <is>
          <t>Application in pipeline.</t>
        </is>
      </c>
      <c r="G15" s="7" t="inlineStr">
        <is>
          <t>Open applicant drawer
Observe stepper animation</t>
        </is>
      </c>
      <c r="H15" s="7" t="inlineStr">
        <is>
          <t>N/A</t>
        </is>
      </c>
      <c r="I15" s="7" t="inlineStr">
        <is>
          <t>Stepper shows 5 stages, current stage highlighted with animation. Previous stages marked complete.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ADM2-013</t>
        </is>
      </c>
      <c r="B16" s="17" t="inlineStr">
        <is>
          <t>Email</t>
        </is>
      </c>
      <c r="C16" s="17" t="inlineStr">
        <is>
          <t>Exam scheduled email contains correct details</t>
        </is>
      </c>
      <c r="D16" s="19" t="inlineStr">
        <is>
          <t>High</t>
        </is>
      </c>
      <c r="E16" s="17" t="inlineStr">
        <is>
          <t>Integration</t>
        </is>
      </c>
      <c r="F16" s="17" t="inlineStr">
        <is>
          <t>Email service configured. Exam scheduled.</t>
        </is>
      </c>
      <c r="G16" s="17" t="inlineStr">
        <is>
          <t>Schedule exam
Check applicant email inbox</t>
        </is>
      </c>
      <c r="H16" s="17" t="inlineStr">
        <is>
          <t>N/A</t>
        </is>
      </c>
      <c r="I16" s="17" t="inlineStr">
        <is>
          <t>Email received with: exam date, location, notes. Correct sender. No broken links.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ADM2-014</t>
        </is>
      </c>
      <c r="B17" s="7" t="inlineStr">
        <is>
          <t>Email</t>
        </is>
      </c>
      <c r="C17" s="7" t="inlineStr">
        <is>
          <t>Interview scheduled email sent correctly</t>
        </is>
      </c>
      <c r="D17" s="19" t="inlineStr">
        <is>
          <t>High</t>
        </is>
      </c>
      <c r="E17" s="7" t="inlineStr">
        <is>
          <t>Integration</t>
        </is>
      </c>
      <c r="F17" s="7" t="inlineStr">
        <is>
          <t>Interview scheduled.</t>
        </is>
      </c>
      <c r="G17" s="7" t="inlineStr">
        <is>
          <t>Schedule interview
Check email</t>
        </is>
      </c>
      <c r="H17" s="7" t="inlineStr">
        <is>
          <t>N/A</t>
        </is>
      </c>
      <c r="I17" s="7" t="inlineStr">
        <is>
          <t>Email with interview details received.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ADM2-015</t>
        </is>
      </c>
      <c r="B18" s="17" t="inlineStr">
        <is>
          <t>DB</t>
        </is>
      </c>
      <c r="C18" s="17" t="inlineStr">
        <is>
          <t>New DB columns exist after migration</t>
        </is>
      </c>
      <c r="D18" s="18" t="inlineStr">
        <is>
          <t>Critical</t>
        </is>
      </c>
      <c r="E18" s="17" t="inlineStr">
        <is>
          <t>Database</t>
        </is>
      </c>
      <c r="F18" s="17" t="inlineStr">
        <is>
          <t>Migration applied.</t>
        </is>
      </c>
      <c r="G18" s="17" t="inlineStr">
        <is>
          <t>Check Application table schema:
SELECT * FROM Application LIMIT 1</t>
        </is>
      </c>
      <c r="H18" s="17" t="inlineStr">
        <is>
          <t>N/A</t>
        </is>
      </c>
      <c r="I18" s="17" t="inlineStr">
        <is>
          <t>Columns: examDate, examLocation, examNotes, interviewDate, interviewLocation, interviewNotes all exist.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ADM2-016</t>
        </is>
      </c>
      <c r="B19" s="7" t="inlineStr">
        <is>
          <t>DB</t>
        </is>
      </c>
      <c r="C19" s="7" t="inlineStr">
        <is>
          <t>Pipeline status values validated in schema</t>
        </is>
      </c>
      <c r="D19" s="19" t="inlineStr">
        <is>
          <t>High</t>
        </is>
      </c>
      <c r="E19" s="7" t="inlineStr">
        <is>
          <t>Database</t>
        </is>
      </c>
      <c r="F19" s="7" t="inlineStr">
        <is>
          <t>Prisma schema updated.</t>
        </is>
      </c>
      <c r="G19" s="7" t="inlineStr">
        <is>
          <t>Attempt to set status = "INVALID_STATUS" via API</t>
        </is>
      </c>
      <c r="H19" s="7" t="inlineStr">
        <is>
          <t>N/A</t>
        </is>
      </c>
      <c r="I19" s="7" t="inlineStr">
        <is>
          <t>400 Bad Request. Validation schema rejects invalid status.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ADM2-017</t>
        </is>
      </c>
      <c r="B20" s="17" t="inlineStr">
        <is>
          <t>Notifications</t>
        </is>
      </c>
      <c r="C20" s="17" t="inlineStr">
        <is>
          <t>In-app notification created for each stage change</t>
        </is>
      </c>
      <c r="D20" s="19" t="inlineStr">
        <is>
          <t>High</t>
        </is>
      </c>
      <c r="E20" s="17" t="inlineStr">
        <is>
          <t>Functional</t>
        </is>
      </c>
      <c r="F20" s="17" t="inlineStr">
        <is>
          <t>Applicant logged in.</t>
        </is>
      </c>
      <c r="G20" s="17" t="inlineStr">
        <is>
          <t>Admin moves applicant through each stage
Applicant checks notifications</t>
        </is>
      </c>
      <c r="H20" s="17" t="inlineStr">
        <is>
          <t>N/A</t>
        </is>
      </c>
      <c r="I20" s="17" t="inlineStr">
        <is>
          <t>Notification per stage change. Links to /applicant/dashboard.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ADM2-018</t>
        </is>
      </c>
      <c r="B21" s="7" t="inlineStr">
        <is>
          <t>Enrollment</t>
        </is>
      </c>
      <c r="C21" s="7" t="inlineStr">
        <is>
          <t>Enrollment button appears after acceptance</t>
        </is>
      </c>
      <c r="D21" s="18" t="inlineStr">
        <is>
          <t>Critical</t>
        </is>
      </c>
      <c r="E21" s="7" t="inlineStr">
        <is>
          <t>Functional</t>
        </is>
      </c>
      <c r="F21" s="7" t="inlineStr">
        <is>
          <t>Applicant accepted.</t>
        </is>
      </c>
      <c r="G21" s="7" t="inlineStr">
        <is>
          <t>Login as accepted applicant
View dashboard</t>
        </is>
      </c>
      <c r="H21" s="7" t="inlineStr">
        <is>
          <t>N/A</t>
        </is>
      </c>
      <c r="I21" s="7" t="inlineStr">
        <is>
          <t>Enrollment button visible. Clicking it triggers student role claim workflow.</t>
        </is>
      </c>
      <c r="J21" s="7" t="inlineStr"/>
      <c r="K21" s="7" t="inlineStr"/>
      <c r="L21" s="7" t="inlineStr"/>
      <c r="M21" s="7" t="inlineStr"/>
      <c r="N21" s="7" t="inlineStr"/>
    </row>
    <row r="22" ht="55" customHeight="1">
      <c r="A22" s="17" t="inlineStr">
        <is>
          <t>ADM2-019</t>
        </is>
      </c>
      <c r="B22" s="17" t="inlineStr">
        <is>
          <t>Security</t>
        </is>
      </c>
      <c r="C22" s="17" t="inlineStr">
        <is>
          <t>Only Admissions dept staff can schedule exam</t>
        </is>
      </c>
      <c r="D22" s="18" t="inlineStr">
        <is>
          <t>Critical</t>
        </is>
      </c>
      <c r="E22" s="17" t="inlineStr">
        <is>
          <t>Security</t>
        </is>
      </c>
      <c r="F22" s="17" t="inlineStr">
        <is>
          <t>Staff from non-Admissions dept logged in.</t>
        </is>
      </c>
      <c r="G22" s="17" t="inlineStr">
        <is>
          <t>Attempt POST /admissions/:id/schedule-exam with non-Admissions staff JWT</t>
        </is>
      </c>
      <c r="H22" s="17" t="inlineStr">
        <is>
          <t>N/A</t>
        </is>
      </c>
      <c r="I22" s="17" t="inlineStr">
        <is>
          <t>403 Forbidden. Dept restriction enforced.</t>
        </is>
      </c>
      <c r="J22" s="17" t="inlineStr"/>
      <c r="K22" s="17" t="inlineStr"/>
      <c r="L22" s="17" t="inlineStr"/>
      <c r="M22" s="17" t="inlineStr"/>
      <c r="N22" s="17" t="inlineStr"/>
    </row>
    <row r="23" ht="55" customHeight="1">
      <c r="A23" s="7" t="inlineStr">
        <is>
          <t>ADM2-020</t>
        </is>
      </c>
      <c r="B23" s="7" t="inlineStr">
        <is>
          <t>Audit</t>
        </is>
      </c>
      <c r="C23" s="7" t="inlineStr">
        <is>
          <t>Each pipeline stage change logged in audit</t>
        </is>
      </c>
      <c r="D23" s="19" t="inlineStr">
        <is>
          <t>High</t>
        </is>
      </c>
      <c r="E23" s="7" t="inlineStr">
        <is>
          <t>Functional</t>
        </is>
      </c>
      <c r="F23" s="7" t="inlineStr">
        <is>
          <t>Audit log accessible by SuperAdmin.</t>
        </is>
      </c>
      <c r="G23" s="7" t="inlineStr">
        <is>
          <t>Move application through all stages
Check AuditLog table</t>
        </is>
      </c>
      <c r="H23" s="7" t="inlineStr">
        <is>
          <t>N/A</t>
        </is>
      </c>
      <c r="I23" s="7" t="inlineStr">
        <is>
          <t>5 audit entries: MARK_UNDER_REVIEW, SCHEDULE_EXAM, SCHEDULE_INTERVIEW, ACCEPT/REJECT_APPLICANT each with timestamp and actor.</t>
        </is>
      </c>
      <c r="J23" s="7" t="inlineStr"/>
      <c r="K23" s="7" t="inlineStr"/>
      <c r="L23" s="7" t="inlineStr"/>
      <c r="M23" s="7" t="inlineStr"/>
      <c r="N23" s="7" t="inlineStr"/>
    </row>
    <row r="24" ht="55" customHeight="1">
      <c r="A24" s="17" t="inlineStr">
        <is>
          <t>ADM2-021</t>
        </is>
      </c>
      <c r="B24" s="17" t="inlineStr">
        <is>
          <t>Concurrent</t>
        </is>
      </c>
      <c r="C24" s="17" t="inlineStr">
        <is>
          <t>Two staff simultaneously review same applicant</t>
        </is>
      </c>
      <c r="D24" s="20" t="inlineStr">
        <is>
          <t>Medium</t>
        </is>
      </c>
      <c r="E24" s="17" t="inlineStr">
        <is>
          <t>Concurrency</t>
        </is>
      </c>
      <c r="F24" s="17" t="inlineStr">
        <is>
          <t>Two staff accounts, same application.</t>
        </is>
      </c>
      <c r="G24" s="17" t="inlineStr">
        <is>
          <t>Both staff open same applicant
First staff accepts
Second staff tries to reject</t>
        </is>
      </c>
      <c r="H24" s="17" t="inlineStr">
        <is>
          <t>N/A</t>
        </is>
      </c>
      <c r="I24" s="17" t="inlineStr">
        <is>
          <t>Optimistic lock / version check prevents double-action. Error shown to second staff.</t>
        </is>
      </c>
      <c r="J24" s="17" t="inlineStr"/>
      <c r="K24" s="17" t="inlineStr"/>
      <c r="L24" s="17" t="inlineStr"/>
      <c r="M24" s="17" t="inlineStr"/>
      <c r="N24" s="17" t="inlineStr">
        <is>
          <t>Race condition test</t>
        </is>
      </c>
    </row>
    <row r="25" ht="55" customHeight="1">
      <c r="A25" s="7" t="inlineStr">
        <is>
          <t>ADM2-022</t>
        </is>
      </c>
      <c r="B25" s="7" t="inlineStr">
        <is>
          <t>Reminder Tips</t>
        </is>
      </c>
      <c r="C25" s="7" t="inlineStr">
        <is>
          <t>Sidebar reminder tips displayed correctly</t>
        </is>
      </c>
      <c r="D25" s="28" t="inlineStr">
        <is>
          <t>Low</t>
        </is>
      </c>
      <c r="E25" s="7" t="inlineStr">
        <is>
          <t>UI</t>
        </is>
      </c>
      <c r="F25" s="7" t="inlineStr">
        <is>
          <t>Logged in as applicant.</t>
        </is>
      </c>
      <c r="G25" s="7" t="inlineStr">
        <is>
          <t>View applicant dashboard sidebar</t>
        </is>
      </c>
      <c r="H25" s="7" t="inlineStr">
        <is>
          <t>N/A</t>
        </is>
      </c>
      <c r="I25" s="7" t="inlineStr">
        <is>
          <t>Helpful reminder tips displayed in sidebar per current stage.</t>
        </is>
      </c>
      <c r="J25" s="7" t="inlineStr"/>
      <c r="K25" s="7" t="inlineStr"/>
      <c r="L25" s="7" t="inlineStr"/>
      <c r="M25" s="7" t="inlineStr"/>
      <c r="N25" s="7" t="inlineStr"/>
    </row>
    <row r="26" ht="55" customHeight="1">
      <c r="A26" s="17" t="inlineStr">
        <is>
          <t>ADM2-023</t>
        </is>
      </c>
      <c r="B26" s="17" t="inlineStr">
        <is>
          <t>Stats</t>
        </is>
      </c>
      <c r="C26" s="17" t="inlineStr">
        <is>
          <t>Stat cards update in real-time after stage change</t>
        </is>
      </c>
      <c r="D26" s="20" t="inlineStr">
        <is>
          <t>Medium</t>
        </is>
      </c>
      <c r="E26" s="17" t="inlineStr">
        <is>
          <t>Functional</t>
        </is>
      </c>
      <c r="F26" s="17" t="inlineStr">
        <is>
          <t>Admissions page open by admin.</t>
        </is>
      </c>
      <c r="G26" s="17" t="inlineStr">
        <is>
          <t>Admin moves applicant to next stage
Observe stat cards without page refresh</t>
        </is>
      </c>
      <c r="H26" s="17" t="inlineStr">
        <is>
          <t>N/A</t>
        </is>
      </c>
      <c r="I26" s="17" t="inlineStr">
        <is>
          <t>V2: Stats update or require manual refresh. No stale data.</t>
        </is>
      </c>
      <c r="J26" s="17" t="inlineStr"/>
      <c r="K26" s="17" t="inlineStr"/>
      <c r="L26" s="17" t="inlineStr"/>
      <c r="M26" s="17" t="inlineStr"/>
      <c r="N26" s="17" t="inlineStr"/>
    </row>
    <row r="27" ht="55" customHeight="1">
      <c r="A27" s="7" t="inlineStr">
        <is>
          <t>ADM2-024</t>
        </is>
      </c>
      <c r="B27" s="7" t="inlineStr">
        <is>
          <t>Avatar</t>
        </is>
      </c>
      <c r="C27" s="7" t="inlineStr">
        <is>
          <t>Applicant avatar generated from name initials</t>
        </is>
      </c>
      <c r="D27" s="28" t="inlineStr">
        <is>
          <t>Low</t>
        </is>
      </c>
      <c r="E27" s="7" t="inlineStr">
        <is>
          <t>UI</t>
        </is>
      </c>
      <c r="F27" s="7" t="inlineStr">
        <is>
          <t>Admissions list loaded.</t>
        </is>
      </c>
      <c r="G27" s="7" t="inlineStr">
        <is>
          <t>View applicant table
Check avatar column</t>
        </is>
      </c>
      <c r="H27" s="7" t="inlineStr">
        <is>
          <t>N/A</t>
        </is>
      </c>
      <c r="I27" s="7" t="inlineStr">
        <is>
          <t>MUI Avatar with initials and color displayed for each applicant.</t>
        </is>
      </c>
      <c r="J27" s="7" t="inlineStr"/>
      <c r="K27" s="7" t="inlineStr"/>
      <c r="L27" s="7" t="inlineStr"/>
      <c r="M27" s="7" t="inlineStr"/>
      <c r="N27" s="7" t="inlineStr"/>
    </row>
    <row r="28" ht="55" customHeight="1">
      <c r="A28" s="17" t="inlineStr">
        <is>
          <t>ADM2-025</t>
        </is>
      </c>
      <c r="B28" s="17" t="inlineStr">
        <is>
          <t>Score</t>
        </is>
      </c>
      <c r="C28" s="17" t="inlineStr">
        <is>
          <t>Score chips show colored indicators</t>
        </is>
      </c>
      <c r="D28" s="28" t="inlineStr">
        <is>
          <t>Low</t>
        </is>
      </c>
      <c r="E28" s="17" t="inlineStr">
        <is>
          <t>UI</t>
        </is>
      </c>
      <c r="F28" s="17" t="inlineStr">
        <is>
          <t>Admissions list with scores.</t>
        </is>
      </c>
      <c r="G28" s="17" t="inlineStr">
        <is>
          <t>View score column in table</t>
        </is>
      </c>
      <c r="H28" s="17" t="inlineStr">
        <is>
          <t>N/A</t>
        </is>
      </c>
      <c r="I28" s="17" t="inlineStr">
        <is>
          <t>Color-coded MUI Chips: green high score, orange medium, red low.</t>
        </is>
      </c>
      <c r="J28" s="17" t="inlineStr"/>
      <c r="K28" s="17" t="inlineStr"/>
      <c r="L28" s="17" t="inlineStr"/>
      <c r="M28" s="17" t="inlineStr"/>
      <c r="N28" s="17" t="inlineStr"/>
    </row>
    <row r="29" ht="55" customHeight="1">
      <c r="A29" s="7" t="inlineStr">
        <is>
          <t>ADM2-026</t>
        </is>
      </c>
      <c r="B29" s="7" t="inlineStr">
        <is>
          <t>Mobile</t>
        </is>
      </c>
      <c r="C29" s="7" t="inlineStr">
        <is>
          <t>Admissions page responsive on mobile</t>
        </is>
      </c>
      <c r="D29" s="20" t="inlineStr">
        <is>
          <t>Medium</t>
        </is>
      </c>
      <c r="E29" s="7" t="inlineStr">
        <is>
          <t>UI/Responsive</t>
        </is>
      </c>
      <c r="F29" s="7" t="inlineStr">
        <is>
          <t>Browser resized to 375px.</t>
        </is>
      </c>
      <c r="G29" s="7" t="inlineStr">
        <is>
          <t>Open /admin/admissions on mobile viewport</t>
        </is>
      </c>
      <c r="H29" s="7" t="inlineStr">
        <is>
          <t>N/A</t>
        </is>
      </c>
      <c r="I29" s="7" t="inlineStr">
        <is>
          <t>Stat cards stack vertically. Table scrollable. Drawer full-width.</t>
        </is>
      </c>
      <c r="J29" s="7" t="inlineStr"/>
      <c r="K29" s="7" t="inlineStr"/>
      <c r="L29" s="7" t="inlineStr"/>
      <c r="M29" s="7" t="inlineStr"/>
      <c r="N29" s="7" t="inlineStr"/>
    </row>
    <row r="30" ht="55" customHeight="1">
      <c r="A30" s="17" t="inlineStr">
        <is>
          <t>ADM2-027</t>
        </is>
      </c>
      <c r="B30" s="17" t="inlineStr">
        <is>
          <t>Edge</t>
        </is>
      </c>
      <c r="C30" s="17" t="inlineStr">
        <is>
          <t>Schedule exam with past date rejected</t>
        </is>
      </c>
      <c r="D30" s="19" t="inlineStr">
        <is>
          <t>High</t>
        </is>
      </c>
      <c r="E30" s="17" t="inlineStr">
        <is>
          <t>Negative</t>
        </is>
      </c>
      <c r="F30" s="17" t="inlineStr">
        <is>
          <t>Application = UNDER_REVIEW.</t>
        </is>
      </c>
      <c r="G30" s="17" t="inlineStr">
        <is>
          <t>Enter past date for exam
Submit</t>
        </is>
      </c>
      <c r="H30" s="17" t="inlineStr">
        <is>
          <t>N/A</t>
        </is>
      </c>
      <c r="I30" s="17" t="inlineStr">
        <is>
          <t>Validation error: Exam date must be in the future.</t>
        </is>
      </c>
      <c r="J30" s="17" t="inlineStr"/>
      <c r="K30" s="17" t="inlineStr"/>
      <c r="L30" s="17" t="inlineStr"/>
      <c r="M30" s="17" t="inlineStr"/>
      <c r="N30" s="17" t="inlineStr"/>
    </row>
    <row r="31" ht="55" customHeight="1">
      <c r="A31" s="7" t="inlineStr">
        <is>
          <t>ADM2-028</t>
        </is>
      </c>
      <c r="B31" s="7" t="inlineStr">
        <is>
          <t>Edge</t>
        </is>
      </c>
      <c r="C31" s="7" t="inlineStr">
        <is>
          <t>Empty exam location field rejected</t>
        </is>
      </c>
      <c r="D31" s="20" t="inlineStr">
        <is>
          <t>Medium</t>
        </is>
      </c>
      <c r="E31" s="7" t="inlineStr">
        <is>
          <t>Negative</t>
        </is>
      </c>
      <c r="F31" s="7" t="inlineStr">
        <is>
          <t>Application = UNDER_REVIEW.</t>
        </is>
      </c>
      <c r="G31" s="7" t="inlineStr">
        <is>
          <t>Submit schedule exam form with empty location</t>
        </is>
      </c>
      <c r="H31" s="7" t="inlineStr">
        <is>
          <t>N/A</t>
        </is>
      </c>
      <c r="I31" s="7" t="inlineStr">
        <is>
          <t>Validation: Location is required.</t>
        </is>
      </c>
      <c r="J31" s="7" t="inlineStr"/>
      <c r="K31" s="7" t="inlineStr"/>
      <c r="L31" s="7" t="inlineStr"/>
      <c r="M31" s="7" t="inlineStr"/>
      <c r="N31" s="7" t="inlineStr"/>
    </row>
    <row r="33">
      <c r="A33" s="32" t="inlineStr">
        <is>
          <t>TOTAL TEST CASES: 28</t>
        </is>
      </c>
      <c r="B33" s="22" t="n"/>
      <c r="C33" s="22" t="n"/>
      <c r="D33" s="22" t="n"/>
      <c r="E33" s="23">
        <f>COUNTIF(K4:K31,"✅ PASS")</f>
        <v/>
      </c>
      <c r="F33" s="24">
        <f>COUNTIF(K4:K31,"❌ FAIL")</f>
        <v/>
      </c>
      <c r="G33" s="22" t="inlineStr">
        <is>
          <t>V1 Pass%</t>
        </is>
      </c>
      <c r="H33" s="25">
        <f>IFERROR(E33/(28)*100,0)&amp;"%"</f>
        <v/>
      </c>
      <c r="I33" s="23">
        <f>COUNTIF(M4:M31,"✅ PASS")</f>
        <v/>
      </c>
      <c r="J33" s="24">
        <f>COUNTIF(M4:M31,"❌ FAIL")</f>
        <v/>
      </c>
      <c r="K33" s="22" t="inlineStr">
        <is>
          <t>V2 Pass%</t>
        </is>
      </c>
      <c r="L33" s="25">
        <f>IFERROR(I33/(28)*100,0)&amp;"%"</f>
        <v/>
      </c>
      <c r="M33" s="22" t="n"/>
      <c r="N33" s="22" t="n"/>
    </row>
  </sheetData>
  <mergeCells count="3">
    <mergeCell ref="A2:N2"/>
    <mergeCell ref="A33:D33"/>
    <mergeCell ref="A1:N1"/>
  </mergeCells>
  <dataValidations count="2">
    <dataValidation sqref="K4:K31" showDropDown="0" showInputMessage="0" showErrorMessage="0" allowBlank="0" type="list">
      <formula1>"✅ PASS,❌ FAIL,🔶 BLOCKED,⬜ NOT RUN,➡️ N/A"</formula1>
    </dataValidation>
    <dataValidation sqref="M4:M31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33" t="inlineStr">
        <is>
          <t>🧪  Student Affairs Module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34" t="inlineStr">
        <is>
          <t>Test ID</t>
        </is>
      </c>
      <c r="B3" s="34" t="inlineStr">
        <is>
          <t>Category</t>
        </is>
      </c>
      <c r="C3" s="34" t="inlineStr">
        <is>
          <t>Test Case Name</t>
        </is>
      </c>
      <c r="D3" s="34" t="inlineStr">
        <is>
          <t>Priority</t>
        </is>
      </c>
      <c r="E3" s="34" t="inlineStr">
        <is>
          <t>Type</t>
        </is>
      </c>
      <c r="F3" s="34" t="inlineStr">
        <is>
          <t>Pre-conditions</t>
        </is>
      </c>
      <c r="G3" s="34" t="inlineStr">
        <is>
          <t>Test Steps</t>
        </is>
      </c>
      <c r="H3" s="34" t="inlineStr">
        <is>
          <t>Expected Result (V1)</t>
        </is>
      </c>
      <c r="I3" s="34" t="inlineStr">
        <is>
          <t>Expected Result (V2)</t>
        </is>
      </c>
      <c r="J3" s="34" t="inlineStr">
        <is>
          <t>Actual Result (V1)</t>
        </is>
      </c>
      <c r="K3" s="34" t="inlineStr">
        <is>
          <t>Status V1</t>
        </is>
      </c>
      <c r="L3" s="34" t="inlineStr">
        <is>
          <t>Actual Result (V2)</t>
        </is>
      </c>
      <c r="M3" s="34" t="inlineStr">
        <is>
          <t>Status V2</t>
        </is>
      </c>
      <c r="N3" s="34" t="inlineStr">
        <is>
          <t>Notes / Defect ID</t>
        </is>
      </c>
    </row>
    <row r="4" ht="55" customHeight="1">
      <c r="A4" s="17" t="inlineStr">
        <is>
          <t>AFF-001</t>
        </is>
      </c>
      <c r="B4" s="17" t="inlineStr">
        <is>
          <t>Student List</t>
        </is>
      </c>
      <c r="C4" s="17" t="inlineStr">
        <is>
          <t>Staff views all enrolled students</t>
        </is>
      </c>
      <c r="D4" s="18" t="inlineStr">
        <is>
          <t>Critical</t>
        </is>
      </c>
      <c r="E4" s="17" t="inlineStr">
        <is>
          <t>Functional</t>
        </is>
      </c>
      <c r="F4" s="17" t="inlineStr">
        <is>
          <t>Staff logged in. Students exist.</t>
        </is>
      </c>
      <c r="G4" s="17" t="inlineStr">
        <is>
          <t>Navigate to /admin/affairs
View student table</t>
        </is>
      </c>
      <c r="H4" s="17" t="inlineStr">
        <is>
          <t>Table shows all students with Name, ID, Dept, Class.</t>
        </is>
      </c>
      <c r="I4" s="17" t="inlineStr">
        <is>
          <t>Same + filter/search capabilities.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AFF-002</t>
        </is>
      </c>
      <c r="B5" s="7" t="inlineStr">
        <is>
          <t>Student Profile</t>
        </is>
      </c>
      <c r="C5" s="7" t="inlineStr">
        <is>
          <t>Staff opens individual student profile</t>
        </is>
      </c>
      <c r="D5" s="19" t="inlineStr">
        <is>
          <t>High</t>
        </is>
      </c>
      <c r="E5" s="7" t="inlineStr">
        <is>
          <t>Functional</t>
        </is>
      </c>
      <c r="F5" s="7" t="inlineStr">
        <is>
          <t>Students in list.</t>
        </is>
      </c>
      <c r="G5" s="7" t="inlineStr">
        <is>
          <t>Click on student row
Drawer or modal opens</t>
        </is>
      </c>
      <c r="H5" s="7" t="inlineStr">
        <is>
          <t>Student details shown: name, ID, dept, contact, docs.</t>
        </is>
      </c>
      <c r="I5" s="7" t="inlineStr">
        <is>
          <t>Same + tabs for grades, attendance, financial status.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AFF-003</t>
        </is>
      </c>
      <c r="B6" s="17" t="inlineStr">
        <is>
          <t>Student Edit</t>
        </is>
      </c>
      <c r="C6" s="17" t="inlineStr">
        <is>
          <t>Staff updates student contact info</t>
        </is>
      </c>
      <c r="D6" s="19" t="inlineStr">
        <is>
          <t>High</t>
        </is>
      </c>
      <c r="E6" s="17" t="inlineStr">
        <is>
          <t>Functional</t>
        </is>
      </c>
      <c r="F6" s="17" t="inlineStr">
        <is>
          <t>Staff in Affairs dept logged in.</t>
        </is>
      </c>
      <c r="G6" s="17" t="inlineStr">
        <is>
          <t>Open student profile
Edit phone/address
Save</t>
        </is>
      </c>
      <c r="H6" s="17" t="inlineStr">
        <is>
          <t>Update saved. DB reflects new value.</t>
        </is>
      </c>
      <c r="I6" s="17" t="inlineStr">
        <is>
          <t>Same. Audit log records UPDATE_STUDENT event.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AFF-004</t>
        </is>
      </c>
      <c r="B7" s="7" t="inlineStr">
        <is>
          <t>Grades</t>
        </is>
      </c>
      <c r="C7" s="7" t="inlineStr">
        <is>
          <t>Staff adds grade for student</t>
        </is>
      </c>
      <c r="D7" s="18" t="inlineStr">
        <is>
          <t>Critical</t>
        </is>
      </c>
      <c r="E7" s="7" t="inlineStr">
        <is>
          <t>Functional</t>
        </is>
      </c>
      <c r="F7" s="7" t="inlineStr">
        <is>
          <t>Student exists. Staff has grading permissions.</t>
        </is>
      </c>
      <c r="G7" s="7" t="inlineStr">
        <is>
          <t>Open student → Grades tab
Add subject + grade
Save</t>
        </is>
      </c>
      <c r="H7" s="7" t="inlineStr">
        <is>
          <t>Grade saved. Student can view on their portal.</t>
        </is>
      </c>
      <c r="I7" s="7" t="inlineStr">
        <is>
          <t>Same + grade history tracked.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AFF-005</t>
        </is>
      </c>
      <c r="B8" s="17" t="inlineStr">
        <is>
          <t>Grades</t>
        </is>
      </c>
      <c r="C8" s="17" t="inlineStr">
        <is>
          <t>Grade cannot exceed 100 or be negative</t>
        </is>
      </c>
      <c r="D8" s="19" t="inlineStr">
        <is>
          <t>High</t>
        </is>
      </c>
      <c r="E8" s="17" t="inlineStr">
        <is>
          <t>Negative</t>
        </is>
      </c>
      <c r="F8" s="17" t="inlineStr">
        <is>
          <t>Student profile open.</t>
        </is>
      </c>
      <c r="G8" s="17" t="inlineStr">
        <is>
          <t>Enter grade = 150
Save</t>
        </is>
      </c>
      <c r="H8" s="17" t="inlineStr">
        <is>
          <t>V1 BUG: May accept out-of-range values.</t>
        </is>
      </c>
      <c r="I8" s="17" t="inlineStr">
        <is>
          <t>V2 FIX: Validation: 0–100 range enforced.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AFF-006</t>
        </is>
      </c>
      <c r="B9" s="7" t="inlineStr">
        <is>
          <t>Grades</t>
        </is>
      </c>
      <c r="C9" s="7" t="inlineStr">
        <is>
          <t>Student views own grades</t>
        </is>
      </c>
      <c r="D9" s="18" t="inlineStr">
        <is>
          <t>Critical</t>
        </is>
      </c>
      <c r="E9" s="7" t="inlineStr">
        <is>
          <t>Functional</t>
        </is>
      </c>
      <c r="F9" s="7" t="inlineStr">
        <is>
          <t>Grades recorded for student. Student logged in.</t>
        </is>
      </c>
      <c r="G9" s="7" t="inlineStr">
        <is>
          <t>Login as student → Navigate to grades section</t>
        </is>
      </c>
      <c r="H9" s="7" t="inlineStr">
        <is>
          <t>Grades displayed per subject.</t>
        </is>
      </c>
      <c r="I9" s="7" t="inlineStr">
        <is>
          <t>Same + GPA calculated and displayed.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AFF-007</t>
        </is>
      </c>
      <c r="B10" s="17" t="inlineStr">
        <is>
          <t>Documents</t>
        </is>
      </c>
      <c r="C10" s="17" t="inlineStr">
        <is>
          <t>Staff views uploaded applicant documents</t>
        </is>
      </c>
      <c r="D10" s="19" t="inlineStr">
        <is>
          <t>High</t>
        </is>
      </c>
      <c r="E10" s="17" t="inlineStr">
        <is>
          <t>Functional</t>
        </is>
      </c>
      <c r="F10" s="17" t="inlineStr">
        <is>
          <t>Student was applicant with uploaded docs.</t>
        </is>
      </c>
      <c r="G10" s="17" t="inlineStr">
        <is>
          <t>Open student profile → Documents tab</t>
        </is>
      </c>
      <c r="H10" s="17" t="inlineStr">
        <is>
          <t>Document list with uploaded filenames shown.</t>
        </is>
      </c>
      <c r="I10" s="17" t="inlineStr">
        <is>
          <t>Same + download links and upload status badges.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AFF-008</t>
        </is>
      </c>
      <c r="B11" s="7" t="inlineStr">
        <is>
          <t>Documents</t>
        </is>
      </c>
      <c r="C11" s="7" t="inlineStr">
        <is>
          <t>Staff can upload additional documents</t>
        </is>
      </c>
      <c r="D11" s="20" t="inlineStr">
        <is>
          <t>Medium</t>
        </is>
      </c>
      <c r="E11" s="7" t="inlineStr">
        <is>
          <t>Functional</t>
        </is>
      </c>
      <c r="F11" s="7" t="inlineStr">
        <is>
          <t>Student profile open.</t>
        </is>
      </c>
      <c r="G11" s="7" t="inlineStr">
        <is>
          <t>Click upload
Select PDF
Save</t>
        </is>
      </c>
      <c r="H11" s="7" t="inlineStr">
        <is>
          <t>Document saved.</t>
        </is>
      </c>
      <c r="I11" s="7" t="inlineStr">
        <is>
          <t>Same. File size validation applied.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AFF-009</t>
        </is>
      </c>
      <c r="B12" s="17" t="inlineStr">
        <is>
          <t>Search</t>
        </is>
      </c>
      <c r="C12" s="17" t="inlineStr">
        <is>
          <t>Search student by name</t>
        </is>
      </c>
      <c r="D12" s="19" t="inlineStr">
        <is>
          <t>High</t>
        </is>
      </c>
      <c r="E12" s="17" t="inlineStr">
        <is>
          <t>Functional</t>
        </is>
      </c>
      <c r="F12" s="17" t="inlineStr">
        <is>
          <t>Multiple students in system.</t>
        </is>
      </c>
      <c r="G12" s="17" t="inlineStr">
        <is>
          <t>Type student name in search box</t>
        </is>
      </c>
      <c r="H12" s="17" t="inlineStr">
        <is>
          <t>V1 BUG: No search functionality. Must scroll entire list.</t>
        </is>
      </c>
      <c r="I12" s="17" t="inlineStr">
        <is>
          <t>V2 FIX: Real-time search filters table by name.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AFF-010</t>
        </is>
      </c>
      <c r="B13" s="7" t="inlineStr">
        <is>
          <t>Search</t>
        </is>
      </c>
      <c r="C13" s="7" t="inlineStr">
        <is>
          <t>Search student by ID</t>
        </is>
      </c>
      <c r="D13" s="19" t="inlineStr">
        <is>
          <t>High</t>
        </is>
      </c>
      <c r="E13" s="7" t="inlineStr">
        <is>
          <t>Functional</t>
        </is>
      </c>
      <c r="F13" s="7" t="inlineStr">
        <is>
          <t>Student ID known.</t>
        </is>
      </c>
      <c r="G13" s="7" t="inlineStr">
        <is>
          <t>Enter student ID in search</t>
        </is>
      </c>
      <c r="H13" s="7" t="inlineStr">
        <is>
          <t>V1: No ID search.</t>
        </is>
      </c>
      <c r="I13" s="7" t="inlineStr">
        <is>
          <t>V2: ID-based search returns exact match.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AFF-011</t>
        </is>
      </c>
      <c r="B14" s="17" t="inlineStr">
        <is>
          <t>Filter</t>
        </is>
      </c>
      <c r="C14" s="17" t="inlineStr">
        <is>
          <t>Filter students by department</t>
        </is>
      </c>
      <c r="D14" s="20" t="inlineStr">
        <is>
          <t>Medium</t>
        </is>
      </c>
      <c r="E14" s="17" t="inlineStr">
        <is>
          <t>Functional</t>
        </is>
      </c>
      <c r="F14" s="17" t="inlineStr">
        <is>
          <t>Students in multiple departments.</t>
        </is>
      </c>
      <c r="G14" s="17" t="inlineStr">
        <is>
          <t>Select department from filter dropdown</t>
        </is>
      </c>
      <c r="H14" s="17" t="inlineStr">
        <is>
          <t>All students shown (no filter).</t>
        </is>
      </c>
      <c r="I14" s="17" t="inlineStr">
        <is>
          <t>Only students in selected dept shown.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AFF-012</t>
        </is>
      </c>
      <c r="B15" s="7" t="inlineStr">
        <is>
          <t>Filter</t>
        </is>
      </c>
      <c r="C15" s="7" t="inlineStr">
        <is>
          <t>Filter students by class/grade level</t>
        </is>
      </c>
      <c r="D15" s="20" t="inlineStr">
        <is>
          <t>Medium</t>
        </is>
      </c>
      <c r="E15" s="7" t="inlineStr">
        <is>
          <t>Functional</t>
        </is>
      </c>
      <c r="F15" s="7" t="inlineStr">
        <is>
          <t>Students assigned to different classes.</t>
        </is>
      </c>
      <c r="G15" s="7" t="inlineStr">
        <is>
          <t>Select class from filter</t>
        </is>
      </c>
      <c r="H15" s="7" t="inlineStr">
        <is>
          <t>V1: No class filter.</t>
        </is>
      </c>
      <c r="I15" s="7" t="inlineStr">
        <is>
          <t>V2: Class filter available.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AFF-013</t>
        </is>
      </c>
      <c r="B16" s="17" t="inlineStr">
        <is>
          <t>Export</t>
        </is>
      </c>
      <c r="C16" s="17" t="inlineStr">
        <is>
          <t>Export student list to CSV</t>
        </is>
      </c>
      <c r="D16" s="20" t="inlineStr">
        <is>
          <t>Medium</t>
        </is>
      </c>
      <c r="E16" s="17" t="inlineStr">
        <is>
          <t>Functional</t>
        </is>
      </c>
      <c r="F16" s="17" t="inlineStr">
        <is>
          <t>Students exist.</t>
        </is>
      </c>
      <c r="G16" s="17" t="inlineStr">
        <is>
          <t>Click Export CSV button</t>
        </is>
      </c>
      <c r="H16" s="17" t="inlineStr">
        <is>
          <t>V1: No export feature.</t>
        </is>
      </c>
      <c r="I16" s="17" t="inlineStr">
        <is>
          <t>V2: CSV file downloaded with all student data.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AFF-014</t>
        </is>
      </c>
      <c r="B17" s="7" t="inlineStr">
        <is>
          <t>Bulk</t>
        </is>
      </c>
      <c r="C17" s="7" t="inlineStr">
        <is>
          <t>Bulk update student class assignment</t>
        </is>
      </c>
      <c r="D17" s="20" t="inlineStr">
        <is>
          <t>Medium</t>
        </is>
      </c>
      <c r="E17" s="7" t="inlineStr">
        <is>
          <t>Functional</t>
        </is>
      </c>
      <c r="F17" s="7" t="inlineStr">
        <is>
          <t>Multiple students selected.</t>
        </is>
      </c>
      <c r="G17" s="7" t="inlineStr">
        <is>
          <t>Select multiple students
Choose bulk assign class
Save</t>
        </is>
      </c>
      <c r="H17" s="7" t="inlineStr">
        <is>
          <t>V1: No bulk operations.</t>
        </is>
      </c>
      <c r="I17" s="7" t="inlineStr">
        <is>
          <t>V2: Bulk class assignment works.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AFF-015</t>
        </is>
      </c>
      <c r="B18" s="17" t="inlineStr">
        <is>
          <t>Security</t>
        </is>
      </c>
      <c r="C18" s="17" t="inlineStr">
        <is>
          <t>Student cannot view other students data</t>
        </is>
      </c>
      <c r="D18" s="18" t="inlineStr">
        <is>
          <t>Critical</t>
        </is>
      </c>
      <c r="E18" s="17" t="inlineStr">
        <is>
          <t>Security</t>
        </is>
      </c>
      <c r="F18" s="17" t="inlineStr">
        <is>
          <t>Student A and Student B exist.</t>
        </is>
      </c>
      <c r="G18" s="17" t="inlineStr">
        <is>
          <t>Login as Student A
Attempt GET /api/students/{StudentB_ID}</t>
        </is>
      </c>
      <c r="H18" s="17" t="inlineStr">
        <is>
          <t>403 Forbidden.</t>
        </is>
      </c>
      <c r="I18" s="17" t="inlineStr">
        <is>
          <t>Same. Own data only accessible.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AFF-016</t>
        </is>
      </c>
      <c r="B19" s="7" t="inlineStr">
        <is>
          <t>Deactivation</t>
        </is>
      </c>
      <c r="C19" s="7" t="inlineStr">
        <is>
          <t>Admin deactivates student account</t>
        </is>
      </c>
      <c r="D19" s="19" t="inlineStr">
        <is>
          <t>High</t>
        </is>
      </c>
      <c r="E19" s="7" t="inlineStr">
        <is>
          <t>Functional</t>
        </is>
      </c>
      <c r="F19" s="7" t="inlineStr">
        <is>
          <t>Active student exists.</t>
        </is>
      </c>
      <c r="G19" s="7" t="inlineStr">
        <is>
          <t>Open student → Click Deactivate
Confirm</t>
        </is>
      </c>
      <c r="H19" s="7" t="inlineStr">
        <is>
          <t>Student status = INACTIVE. Login blocked.</t>
        </is>
      </c>
      <c r="I19" s="7" t="inlineStr">
        <is>
          <t>Same. Audit log records DEACTIVATE_STUDENT.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AFF-017</t>
        </is>
      </c>
      <c r="B20" s="17" t="inlineStr">
        <is>
          <t>Schedule</t>
        </is>
      </c>
      <c r="C20" s="17" t="inlineStr">
        <is>
          <t>Student views class schedule</t>
        </is>
      </c>
      <c r="D20" s="19" t="inlineStr">
        <is>
          <t>High</t>
        </is>
      </c>
      <c r="E20" s="17" t="inlineStr">
        <is>
          <t>Functional</t>
        </is>
      </c>
      <c r="F20" s="17" t="inlineStr">
        <is>
          <t>Schedule assigned to student class.</t>
        </is>
      </c>
      <c r="G20" s="17" t="inlineStr">
        <is>
          <t>Login as student → Navigate to schedule</t>
        </is>
      </c>
      <c r="H20" s="17" t="inlineStr">
        <is>
          <t>Schedule displayed as timetable.</t>
        </is>
      </c>
      <c r="I20" s="17" t="inlineStr">
        <is>
          <t>Same + color coding per subject.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AFF-018</t>
        </is>
      </c>
      <c r="B21" s="7" t="inlineStr">
        <is>
          <t>Performance</t>
        </is>
      </c>
      <c r="C21" s="7" t="inlineStr">
        <is>
          <t>Student list loads with 1000+ students</t>
        </is>
      </c>
      <c r="D21" s="20" t="inlineStr">
        <is>
          <t>Medium</t>
        </is>
      </c>
      <c r="E21" s="7" t="inlineStr">
        <is>
          <t>Performance</t>
        </is>
      </c>
      <c r="F21" s="7" t="inlineStr">
        <is>
          <t>1000 student records.</t>
        </is>
      </c>
      <c r="G21" s="7" t="inlineStr">
        <is>
          <t>Load /admin/affairs
Measure load time</t>
        </is>
      </c>
      <c r="H21" s="7" t="inlineStr">
        <is>
          <t>V1 BUG: No pagination. Full table blocks render.</t>
        </is>
      </c>
      <c r="I21" s="7" t="inlineStr">
        <is>
          <t>V2 FIX: Pagination. 50 per page. &lt;2s load.</t>
        </is>
      </c>
      <c r="J21" s="7" t="inlineStr"/>
      <c r="K21" s="7" t="inlineStr"/>
      <c r="L21" s="7" t="inlineStr"/>
      <c r="M21" s="7" t="inlineStr"/>
      <c r="N21" s="7" t="inlineStr"/>
    </row>
    <row r="22" ht="55" customHeight="1">
      <c r="A22" s="17" t="inlineStr">
        <is>
          <t>AFF-019</t>
        </is>
      </c>
      <c r="B22" s="17" t="inlineStr">
        <is>
          <t>Audit</t>
        </is>
      </c>
      <c r="C22" s="17" t="inlineStr">
        <is>
          <t>Document upload logged in audit</t>
        </is>
      </c>
      <c r="D22" s="20" t="inlineStr">
        <is>
          <t>Medium</t>
        </is>
      </c>
      <c r="E22" s="17" t="inlineStr">
        <is>
          <t>Functional</t>
        </is>
      </c>
      <c r="F22" s="17" t="inlineStr">
        <is>
          <t>SuperAdmin access.</t>
        </is>
      </c>
      <c r="G22" s="17" t="inlineStr">
        <is>
          <t>Staff uploads doc
Check AuditLog</t>
        </is>
      </c>
      <c r="H22" s="17" t="inlineStr">
        <is>
          <t>V1: Not logged.</t>
        </is>
      </c>
      <c r="I22" s="17" t="inlineStr">
        <is>
          <t>V2: UPLOAD_DOCUMENT event in audit log.</t>
        </is>
      </c>
      <c r="J22" s="17" t="inlineStr"/>
      <c r="K22" s="17" t="inlineStr"/>
      <c r="L22" s="17" t="inlineStr"/>
      <c r="M22" s="17" t="inlineStr"/>
      <c r="N22" s="17" t="inlineStr"/>
    </row>
    <row r="23" ht="55" customHeight="1">
      <c r="A23" s="7" t="inlineStr">
        <is>
          <t>AFF-020</t>
        </is>
      </c>
      <c r="B23" s="7" t="inlineStr">
        <is>
          <t>UI</t>
        </is>
      </c>
      <c r="C23" s="7" t="inlineStr">
        <is>
          <t>Student avatar with photo displayed</t>
        </is>
      </c>
      <c r="D23" s="28" t="inlineStr">
        <is>
          <t>Low</t>
        </is>
      </c>
      <c r="E23" s="7" t="inlineStr">
        <is>
          <t>UI</t>
        </is>
      </c>
      <c r="F23" s="7" t="inlineStr">
        <is>
          <t>Student profile photo uploaded.</t>
        </is>
      </c>
      <c r="G23" s="7" t="inlineStr">
        <is>
          <t>View student in list</t>
        </is>
      </c>
      <c r="H23" s="7" t="inlineStr">
        <is>
          <t>Initials avatar.</t>
        </is>
      </c>
      <c r="I23" s="7" t="inlineStr">
        <is>
          <t>Profile photo displayed if available.</t>
        </is>
      </c>
      <c r="J23" s="7" t="inlineStr"/>
      <c r="K23" s="7" t="inlineStr"/>
      <c r="L23" s="7" t="inlineStr"/>
      <c r="M23" s="7" t="inlineStr"/>
      <c r="N23" s="7" t="inlineStr"/>
    </row>
    <row r="25">
      <c r="A25" s="35" t="inlineStr">
        <is>
          <t>TOTAL TEST CASES: 20</t>
        </is>
      </c>
      <c r="B25" s="22" t="n"/>
      <c r="C25" s="22" t="n"/>
      <c r="D25" s="22" t="n"/>
      <c r="E25" s="23">
        <f>COUNTIF(K4:K23,"✅ PASS")</f>
        <v/>
      </c>
      <c r="F25" s="24">
        <f>COUNTIF(K4:K23,"❌ FAIL")</f>
        <v/>
      </c>
      <c r="G25" s="22" t="inlineStr">
        <is>
          <t>V1 Pass%</t>
        </is>
      </c>
      <c r="H25" s="25">
        <f>IFERROR(E25/(20)*100,0)&amp;"%"</f>
        <v/>
      </c>
      <c r="I25" s="23">
        <f>COUNTIF(M4:M23,"✅ PASS")</f>
        <v/>
      </c>
      <c r="J25" s="24">
        <f>COUNTIF(M4:M23,"❌ FAIL")</f>
        <v/>
      </c>
      <c r="K25" s="22" t="inlineStr">
        <is>
          <t>V2 Pass%</t>
        </is>
      </c>
      <c r="L25" s="25">
        <f>IFERROR(I25/(20)*100,0)&amp;"%"</f>
        <v/>
      </c>
      <c r="M25" s="22" t="n"/>
      <c r="N25" s="22" t="n"/>
    </row>
  </sheetData>
  <mergeCells count="3">
    <mergeCell ref="A25:D25"/>
    <mergeCell ref="A2:N2"/>
    <mergeCell ref="A1:N1"/>
  </mergeCells>
  <dataValidations count="2">
    <dataValidation sqref="K4:K23" showDropDown="0" showInputMessage="0" showErrorMessage="0" allowBlank="0" type="list">
      <formula1>"✅ PASS,❌ FAIL,🔶 BLOCKED,⬜ NOT RUN,➡️ N/A"</formula1>
    </dataValidation>
    <dataValidation sqref="M4:M23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36" t="inlineStr">
        <is>
          <t>🧪  Attendance — QR-Based Session Management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37" t="inlineStr">
        <is>
          <t>Test ID</t>
        </is>
      </c>
      <c r="B3" s="37" t="inlineStr">
        <is>
          <t>Category</t>
        </is>
      </c>
      <c r="C3" s="37" t="inlineStr">
        <is>
          <t>Test Case Name</t>
        </is>
      </c>
      <c r="D3" s="37" t="inlineStr">
        <is>
          <t>Priority</t>
        </is>
      </c>
      <c r="E3" s="37" t="inlineStr">
        <is>
          <t>Type</t>
        </is>
      </c>
      <c r="F3" s="37" t="inlineStr">
        <is>
          <t>Pre-conditions</t>
        </is>
      </c>
      <c r="G3" s="37" t="inlineStr">
        <is>
          <t>Test Steps</t>
        </is>
      </c>
      <c r="H3" s="37" t="inlineStr">
        <is>
          <t>Expected Result (V1)</t>
        </is>
      </c>
      <c r="I3" s="37" t="inlineStr">
        <is>
          <t>Expected Result (V2)</t>
        </is>
      </c>
      <c r="J3" s="37" t="inlineStr">
        <is>
          <t>Actual Result (V1)</t>
        </is>
      </c>
      <c r="K3" s="37" t="inlineStr">
        <is>
          <t>Status V1</t>
        </is>
      </c>
      <c r="L3" s="37" t="inlineStr">
        <is>
          <t>Actual Result (V2)</t>
        </is>
      </c>
      <c r="M3" s="37" t="inlineStr">
        <is>
          <t>Status V2</t>
        </is>
      </c>
      <c r="N3" s="37" t="inlineStr">
        <is>
          <t>Notes / Defect ID</t>
        </is>
      </c>
    </row>
    <row r="4" ht="55" customHeight="1">
      <c r="A4" s="17" t="inlineStr">
        <is>
          <t>ATT-001</t>
        </is>
      </c>
      <c r="B4" s="17" t="inlineStr">
        <is>
          <t>Session Create</t>
        </is>
      </c>
      <c r="C4" s="17" t="inlineStr">
        <is>
          <t>Staff creates QR attendance session</t>
        </is>
      </c>
      <c r="D4" s="18" t="inlineStr">
        <is>
          <t>Critical</t>
        </is>
      </c>
      <c r="E4" s="17" t="inlineStr">
        <is>
          <t>Functional</t>
        </is>
      </c>
      <c r="F4" s="17" t="inlineStr">
        <is>
          <t>Staff logged in. At least one class exists.</t>
        </is>
      </c>
      <c r="G4" s="17" t="inlineStr">
        <is>
          <t>Navigate to /admin/attendance
Click + New Session
Enter title, class, location, duration
Click Create</t>
        </is>
      </c>
      <c r="H4" s="17" t="inlineStr">
        <is>
          <t>Session created. QR code generated and displayed.</t>
        </is>
      </c>
      <c r="I4" s="17" t="inlineStr">
        <is>
          <t>Same + GPS location embedded in QR. Session ID generated.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ATT-002</t>
        </is>
      </c>
      <c r="B5" s="7" t="inlineStr">
        <is>
          <t>QR Display</t>
        </is>
      </c>
      <c r="C5" s="7" t="inlineStr">
        <is>
          <t>QR code displays and is scannable</t>
        </is>
      </c>
      <c r="D5" s="18" t="inlineStr">
        <is>
          <t>Critical</t>
        </is>
      </c>
      <c r="E5" s="7" t="inlineStr">
        <is>
          <t>Functional</t>
        </is>
      </c>
      <c r="F5" s="7" t="inlineStr">
        <is>
          <t>Session created.</t>
        </is>
      </c>
      <c r="G5" s="7" t="inlineStr">
        <is>
          <t>View QR code on screen
Scan with mobile device</t>
        </is>
      </c>
      <c r="H5" s="7" t="inlineStr">
        <is>
          <t>QR displayed. Scanning opens attendance link.</t>
        </is>
      </c>
      <c r="I5" s="7" t="inlineStr">
        <is>
          <t>Same + QR refreshes periodically for security.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ATT-003</t>
        </is>
      </c>
      <c r="B6" s="17" t="inlineStr">
        <is>
          <t>QR Copy</t>
        </is>
      </c>
      <c r="C6" s="17" t="inlineStr">
        <is>
          <t>Copy QR link to clipboard</t>
        </is>
      </c>
      <c r="D6" s="20" t="inlineStr">
        <is>
          <t>Medium</t>
        </is>
      </c>
      <c r="E6" s="17" t="inlineStr">
        <is>
          <t>Functional</t>
        </is>
      </c>
      <c r="F6" s="17" t="inlineStr">
        <is>
          <t>Session open.</t>
        </is>
      </c>
      <c r="G6" s="17" t="inlineStr">
        <is>
          <t>Click Copy button next to QR</t>
        </is>
      </c>
      <c r="H6" s="17" t="inlineStr">
        <is>
          <t>Link copied to clipboard. Toast shown.</t>
        </is>
      </c>
      <c r="I6" s="17" t="inlineStr">
        <is>
          <t>Same.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ATT-004</t>
        </is>
      </c>
      <c r="B7" s="7" t="inlineStr">
        <is>
          <t>GPS Mark</t>
        </is>
      </c>
      <c r="C7" s="7" t="inlineStr">
        <is>
          <t>Student marks attendance via GPS validation</t>
        </is>
      </c>
      <c r="D7" s="18" t="inlineStr">
        <is>
          <t>Critical</t>
        </is>
      </c>
      <c r="E7" s="7" t="inlineStr">
        <is>
          <t>Functional</t>
        </is>
      </c>
      <c r="F7" s="7" t="inlineStr">
        <is>
          <t>Student near classroom (within allowed distance). Session active.</t>
        </is>
      </c>
      <c r="G7" s="7" t="inlineStr">
        <is>
          <t>Student scans QR link
GPS location detected
Distance validated
Attendance marked</t>
        </is>
      </c>
      <c r="H7" s="7" t="inlineStr">
        <is>
          <t>V1: No GPS validation.</t>
        </is>
      </c>
      <c r="I7" s="7" t="inlineStr">
        <is>
          <t>V2: GPS distance checked. If within range → PRESENT. If too far → rejected.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ATT-005</t>
        </is>
      </c>
      <c r="B8" s="17" t="inlineStr">
        <is>
          <t>GPS Mark</t>
        </is>
      </c>
      <c r="C8" s="17" t="inlineStr">
        <is>
          <t>Student too far from classroom rejected</t>
        </is>
      </c>
      <c r="D8" s="19" t="inlineStr">
        <is>
          <t>High</t>
        </is>
      </c>
      <c r="E8" s="17" t="inlineStr">
        <is>
          <t>Negative</t>
        </is>
      </c>
      <c r="F8" s="17" t="inlineStr">
        <is>
          <t>Student 500m from classroom.</t>
        </is>
      </c>
      <c r="G8" s="17" t="inlineStr">
        <is>
          <t>Scan QR link
GPS shows large distance</t>
        </is>
      </c>
      <c r="H8" s="17" t="inlineStr">
        <is>
          <t>V1: Attendance marked regardless of location.</t>
        </is>
      </c>
      <c r="I8" s="17" t="inlineStr">
        <is>
          <t>V2: Error: You are too far from the classroom. Mark rejected.</t>
        </is>
      </c>
      <c r="J8" s="17" t="inlineStr"/>
      <c r="K8" s="17" t="inlineStr"/>
      <c r="L8" s="17" t="inlineStr"/>
      <c r="M8" s="17" t="inlineStr"/>
      <c r="N8" s="17" t="inlineStr">
        <is>
          <t>Known V1 Security Gap</t>
        </is>
      </c>
    </row>
    <row r="9" ht="55" customHeight="1">
      <c r="A9" s="7" t="inlineStr">
        <is>
          <t>ATT-006</t>
        </is>
      </c>
      <c r="B9" s="7" t="inlineStr">
        <is>
          <t>Status</t>
        </is>
      </c>
      <c r="C9" s="7" t="inlineStr">
        <is>
          <t>Attendance statuses: PRESENT, LATE, ABSENT</t>
        </is>
      </c>
      <c r="D9" s="18" t="inlineStr">
        <is>
          <t>Critical</t>
        </is>
      </c>
      <c r="E9" s="7" t="inlineStr">
        <is>
          <t>Functional</t>
        </is>
      </c>
      <c r="F9" s="7" t="inlineStr">
        <is>
          <t>Session active.</t>
        </is>
      </c>
      <c r="G9" s="7" t="inlineStr">
        <is>
          <t>Mark attendance at session start → PRESENT
Mark 15 min late → LATE
Not marked → ABSENT</t>
        </is>
      </c>
      <c r="H9" s="7" t="inlineStr">
        <is>
          <t>PRESENT and ABSENT only.</t>
        </is>
      </c>
      <c r="I9" s="7" t="inlineStr">
        <is>
          <t>V2: PRESENT, LATE, ABSENT all tracked.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ATT-007</t>
        </is>
      </c>
      <c r="B10" s="17" t="inlineStr">
        <is>
          <t>Auto Absent</t>
        </is>
      </c>
      <c r="C10" s="17" t="inlineStr">
        <is>
          <t>Auto-mark absent after session closes</t>
        </is>
      </c>
      <c r="D10" s="19" t="inlineStr">
        <is>
          <t>High</t>
        </is>
      </c>
      <c r="E10" s="17" t="inlineStr">
        <is>
          <t>Functional</t>
        </is>
      </c>
      <c r="F10" s="17" t="inlineStr">
        <is>
          <t>Session with unmarked students.</t>
        </is>
      </c>
      <c r="G10" s="17" t="inlineStr">
        <is>
          <t>Session time expires
Trigger autoMarkAbsent API or wait for scheduled job</t>
        </is>
      </c>
      <c r="H10" s="17" t="inlineStr">
        <is>
          <t>V1: Absent not auto-marked.</t>
        </is>
      </c>
      <c r="I10" s="17" t="inlineStr">
        <is>
          <t>V2: All unscanned students auto-marked ABSENT.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ATT-008</t>
        </is>
      </c>
      <c r="B11" s="7" t="inlineStr">
        <is>
          <t>Report</t>
        </is>
      </c>
      <c r="C11" s="7" t="inlineStr">
        <is>
          <t>Staff views attendance report for session</t>
        </is>
      </c>
      <c r="D11" s="19" t="inlineStr">
        <is>
          <t>High</t>
        </is>
      </c>
      <c r="E11" s="7" t="inlineStr">
        <is>
          <t>Functional</t>
        </is>
      </c>
      <c r="F11" s="7" t="inlineStr">
        <is>
          <t>Session with marked students.</t>
        </is>
      </c>
      <c r="G11" s="7" t="inlineStr">
        <is>
          <t>Click Report icon on session
View session attendance</t>
        </is>
      </c>
      <c r="H11" s="7" t="inlineStr">
        <is>
          <t>List of students with status.</t>
        </is>
      </c>
      <c r="I11" s="7" t="inlineStr">
        <is>
          <t>Same + summary counts: Present X, Late Y, Absent Z.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ATT-009</t>
        </is>
      </c>
      <c r="B12" s="17" t="inlineStr">
        <is>
          <t>Export</t>
        </is>
      </c>
      <c r="C12" s="17" t="inlineStr">
        <is>
          <t>Export attendance report as CSV</t>
        </is>
      </c>
      <c r="D12" s="20" t="inlineStr">
        <is>
          <t>Medium</t>
        </is>
      </c>
      <c r="E12" s="17" t="inlineStr">
        <is>
          <t>Functional</t>
        </is>
      </c>
      <c r="F12" s="17" t="inlineStr">
        <is>
          <t>Session with records.</t>
        </is>
      </c>
      <c r="G12" s="17" t="inlineStr">
        <is>
          <t>View session report
Click Export CSV</t>
        </is>
      </c>
      <c r="H12" s="17" t="inlineStr">
        <is>
          <t>CSV with Name, ID, Status columns.</t>
        </is>
      </c>
      <c r="I12" s="17" t="inlineStr">
        <is>
          <t>CSV with Name, ID, Status, ScannedAt, Distance(m).</t>
        </is>
      </c>
      <c r="J12" s="17" t="inlineStr"/>
      <c r="K12" s="17" t="inlineStr"/>
      <c r="L12" s="17" t="inlineStr"/>
      <c r="M12" s="17" t="inlineStr"/>
      <c r="N12" s="17" t="inlineStr">
        <is>
          <t>V2 adds more columns</t>
        </is>
      </c>
    </row>
    <row r="13" ht="55" customHeight="1">
      <c r="A13" s="7" t="inlineStr">
        <is>
          <t>ATT-010</t>
        </is>
      </c>
      <c r="B13" s="7" t="inlineStr">
        <is>
          <t>Security</t>
        </is>
      </c>
      <c r="C13" s="7" t="inlineStr">
        <is>
          <t>QR code expires after session end</t>
        </is>
      </c>
      <c r="D13" s="19" t="inlineStr">
        <is>
          <t>High</t>
        </is>
      </c>
      <c r="E13" s="7" t="inlineStr">
        <is>
          <t>Security</t>
        </is>
      </c>
      <c r="F13" s="7" t="inlineStr">
        <is>
          <t>Session closed.</t>
        </is>
      </c>
      <c r="G13" s="7" t="inlineStr">
        <is>
          <t>Use old QR link after session end</t>
        </is>
      </c>
      <c r="H13" s="7" t="inlineStr">
        <is>
          <t>V1 BUG: Old QR may still work.</t>
        </is>
      </c>
      <c r="I13" s="7" t="inlineStr">
        <is>
          <t>V2 FIX: Expired session → 400 error on scan.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ATT-011</t>
        </is>
      </c>
      <c r="B14" s="17" t="inlineStr">
        <is>
          <t>Security</t>
        </is>
      </c>
      <c r="C14" s="17" t="inlineStr">
        <is>
          <t>Student cannot mark attendance for another student</t>
        </is>
      </c>
      <c r="D14" s="18" t="inlineStr">
        <is>
          <t>Critical</t>
        </is>
      </c>
      <c r="E14" s="17" t="inlineStr">
        <is>
          <t>Security</t>
        </is>
      </c>
      <c r="F14" s="17" t="inlineStr">
        <is>
          <t>Two students: A and B.</t>
        </is>
      </c>
      <c r="G14" s="17" t="inlineStr">
        <is>
          <t>Student A scans QR and tries to mark Student B present via API manipulation</t>
        </is>
      </c>
      <c r="H14" s="17" t="inlineStr">
        <is>
          <t>V1 BUG: Possible if JWT studentId not validated.</t>
        </is>
      </c>
      <c r="I14" s="17" t="inlineStr">
        <is>
          <t>V2 FIX: JWT sub used as studentId. Cannot impersonate.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ATT-012</t>
        </is>
      </c>
      <c r="B15" s="7" t="inlineStr">
        <is>
          <t>Duplicate</t>
        </is>
      </c>
      <c r="C15" s="7" t="inlineStr">
        <is>
          <t>Student cannot scan QR twice for same session</t>
        </is>
      </c>
      <c r="D15" s="19" t="inlineStr">
        <is>
          <t>High</t>
        </is>
      </c>
      <c r="E15" s="7" t="inlineStr">
        <is>
          <t>Negative</t>
        </is>
      </c>
      <c r="F15" s="7" t="inlineStr">
        <is>
          <t>Student already marked PRESENT.</t>
        </is>
      </c>
      <c r="G15" s="7" t="inlineStr">
        <is>
          <t>Student scans QR again</t>
        </is>
      </c>
      <c r="H15" s="7" t="inlineStr">
        <is>
          <t>V1: Second scan may create duplicate record.</t>
        </is>
      </c>
      <c r="I15" s="7" t="inlineStr">
        <is>
          <t>V2 FIX: Duplicate check. Error: Already marked.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ATT-013</t>
        </is>
      </c>
      <c r="B16" s="17" t="inlineStr">
        <is>
          <t>Session List</t>
        </is>
      </c>
      <c r="C16" s="17" t="inlineStr">
        <is>
          <t>All sessions shown with status (active/closed)</t>
        </is>
      </c>
      <c r="D16" s="19" t="inlineStr">
        <is>
          <t>High</t>
        </is>
      </c>
      <c r="E16" s="17" t="inlineStr">
        <is>
          <t>Functional</t>
        </is>
      </c>
      <c r="F16" s="17" t="inlineStr">
        <is>
          <t>Multiple sessions created.</t>
        </is>
      </c>
      <c r="G16" s="17" t="inlineStr">
        <is>
          <t>View /admin/attendance session list</t>
        </is>
      </c>
      <c r="H16" s="17" t="inlineStr">
        <is>
          <t>Sessions listed with title and date.</t>
        </is>
      </c>
      <c r="I16" s="17" t="inlineStr">
        <is>
          <t>Sessions with status badge (Active/Closed), student count.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ATT-014</t>
        </is>
      </c>
      <c r="B17" s="7" t="inlineStr">
        <is>
          <t>Manual Override</t>
        </is>
      </c>
      <c r="C17" s="7" t="inlineStr">
        <is>
          <t>Staff manually changes student attendance status</t>
        </is>
      </c>
      <c r="D17" s="19" t="inlineStr">
        <is>
          <t>High</t>
        </is>
      </c>
      <c r="E17" s="7" t="inlineStr">
        <is>
          <t>Functional</t>
        </is>
      </c>
      <c r="F17" s="7" t="inlineStr">
        <is>
          <t>Session report open.</t>
        </is>
      </c>
      <c r="G17" s="7" t="inlineStr">
        <is>
          <t>Click on student status
Change ABSENT → PRESENT
Save</t>
        </is>
      </c>
      <c r="H17" s="7" t="inlineStr">
        <is>
          <t>Status updated.</t>
        </is>
      </c>
      <c r="I17" s="7" t="inlineStr">
        <is>
          <t>Same. Override logged in audit with reason field.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ATT-015</t>
        </is>
      </c>
      <c r="B18" s="17" t="inlineStr">
        <is>
          <t>Performance</t>
        </is>
      </c>
      <c r="C18" s="17" t="inlineStr">
        <is>
          <t>QR generation latency under 500ms</t>
        </is>
      </c>
      <c r="D18" s="20" t="inlineStr">
        <is>
          <t>Medium</t>
        </is>
      </c>
      <c r="E18" s="17" t="inlineStr">
        <is>
          <t>Performance</t>
        </is>
      </c>
      <c r="F18" s="17" t="inlineStr">
        <is>
          <t>Session creation endpoint.</t>
        </is>
      </c>
      <c r="G18" s="17" t="inlineStr">
        <is>
          <t>Measure time from Create click to QR display</t>
        </is>
      </c>
      <c r="H18" s="17" t="inlineStr">
        <is>
          <t>V1: QR may take 2-5s.</t>
        </is>
      </c>
      <c r="I18" s="17" t="inlineStr">
        <is>
          <t>V2: QR generated &lt; 500ms.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ATT-016</t>
        </is>
      </c>
      <c r="B19" s="7" t="inlineStr">
        <is>
          <t>UI</t>
        </is>
      </c>
      <c r="C19" s="7" t="inlineStr">
        <is>
          <t>Motion animation on session creation</t>
        </is>
      </c>
      <c r="D19" s="28" t="inlineStr">
        <is>
          <t>Low</t>
        </is>
      </c>
      <c r="E19" s="7" t="inlineStr">
        <is>
          <t>UI</t>
        </is>
      </c>
      <c r="F19" s="7" t="inlineStr">
        <is>
          <t>Attendance page loaded.</t>
        </is>
      </c>
      <c r="G19" s="7" t="inlineStr">
        <is>
          <t>Create new session
Observe page animation</t>
        </is>
      </c>
      <c r="H19" s="7" t="inlineStr">
        <is>
          <t>No animation.</t>
        </is>
      </c>
      <c r="I19" s="7" t="inlineStr">
        <is>
          <t>Framer Motion animation on session card appear.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ATT-017</t>
        </is>
      </c>
      <c r="B20" s="17" t="inlineStr">
        <is>
          <t>Location</t>
        </is>
      </c>
      <c r="C20" s="17" t="inlineStr">
        <is>
          <t>GPS coordinates saved per attendance record</t>
        </is>
      </c>
      <c r="D20" s="19" t="inlineStr">
        <is>
          <t>High</t>
        </is>
      </c>
      <c r="E20" s="17" t="inlineStr">
        <is>
          <t>Functional</t>
        </is>
      </c>
      <c r="F20" s="17" t="inlineStr">
        <is>
          <t>GPS-enabled session.</t>
        </is>
      </c>
      <c r="G20" s="17" t="inlineStr">
        <is>
          <t>Student marks attendance
Check DB record</t>
        </is>
      </c>
      <c r="H20" s="17" t="inlineStr">
        <is>
          <t>V1: No GPS stored.</t>
        </is>
      </c>
      <c r="I20" s="17" t="inlineStr">
        <is>
          <t>V2: Lat/lon + distance saved per record.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ATT-018</t>
        </is>
      </c>
      <c r="B21" s="7" t="inlineStr">
        <is>
          <t>Offline</t>
        </is>
      </c>
      <c r="C21" s="7" t="inlineStr">
        <is>
          <t>QR displays if network briefly lost</t>
        </is>
      </c>
      <c r="D21" s="20" t="inlineStr">
        <is>
          <t>Medium</t>
        </is>
      </c>
      <c r="E21" s="7" t="inlineStr">
        <is>
          <t>Resilience</t>
        </is>
      </c>
      <c r="F21" s="7" t="inlineStr">
        <is>
          <t>QR showing.</t>
        </is>
      </c>
      <c r="G21" s="7" t="inlineStr">
        <is>
          <t>Disconnect network
Check QR still visible</t>
        </is>
      </c>
      <c r="H21" s="7" t="inlineStr">
        <is>
          <t>QR disappears.</t>
        </is>
      </c>
      <c r="I21" s="7" t="inlineStr">
        <is>
          <t>V2: QR image cached. Still displays during brief outage.</t>
        </is>
      </c>
      <c r="J21" s="7" t="inlineStr"/>
      <c r="K21" s="7" t="inlineStr"/>
      <c r="L21" s="7" t="inlineStr"/>
      <c r="M21" s="7" t="inlineStr"/>
      <c r="N21" s="7" t="inlineStr"/>
    </row>
    <row r="22" ht="55" customHeight="1">
      <c r="A22" s="17" t="inlineStr">
        <is>
          <t>ATT-019</t>
        </is>
      </c>
      <c r="B22" s="17" t="inlineStr">
        <is>
          <t>Notifications</t>
        </is>
      </c>
      <c r="C22" s="17" t="inlineStr">
        <is>
          <t>Student notified when marked absent</t>
        </is>
      </c>
      <c r="D22" s="20" t="inlineStr">
        <is>
          <t>Medium</t>
        </is>
      </c>
      <c r="E22" s="17" t="inlineStr">
        <is>
          <t>Functional</t>
        </is>
      </c>
      <c r="F22" s="17" t="inlineStr">
        <is>
          <t>Student marked ABSENT.</t>
        </is>
      </c>
      <c r="G22" s="17" t="inlineStr">
        <is>
          <t>Auto-absent runs
Check student notifications</t>
        </is>
      </c>
      <c r="H22" s="17" t="inlineStr">
        <is>
          <t>V1: No notification.</t>
        </is>
      </c>
      <c r="I22" s="17" t="inlineStr">
        <is>
          <t>V2: In-app notification: You were marked absent for [Class] [Date].</t>
        </is>
      </c>
      <c r="J22" s="17" t="inlineStr"/>
      <c r="K22" s="17" t="inlineStr"/>
      <c r="L22" s="17" t="inlineStr"/>
      <c r="M22" s="17" t="inlineStr"/>
      <c r="N22" s="17" t="inlineStr"/>
    </row>
    <row r="23" ht="55" customHeight="1">
      <c r="A23" s="7" t="inlineStr">
        <is>
          <t>ATT-020</t>
        </is>
      </c>
      <c r="B23" s="7" t="inlineStr">
        <is>
          <t>Multi-Class</t>
        </is>
      </c>
      <c r="C23" s="7" t="inlineStr">
        <is>
          <t>Multiple concurrent sessions supported</t>
        </is>
      </c>
      <c r="D23" s="19" t="inlineStr">
        <is>
          <t>High</t>
        </is>
      </c>
      <c r="E23" s="7" t="inlineStr">
        <is>
          <t>Functional</t>
        </is>
      </c>
      <c r="F23" s="7" t="inlineStr">
        <is>
          <t>3 classes with simultaneous sessions.</t>
        </is>
      </c>
      <c r="G23" s="7" t="inlineStr">
        <is>
          <t>Create 3 sessions simultaneously
Each class scans own QR</t>
        </is>
      </c>
      <c r="H23" s="7" t="inlineStr">
        <is>
          <t>V1 BUG: Concurrent sessions may conflict.</t>
        </is>
      </c>
      <c r="I23" s="7" t="inlineStr">
        <is>
          <t>V2 FIX: Sessions isolated by sessionId. No cross-contamination.</t>
        </is>
      </c>
      <c r="J23" s="7" t="inlineStr"/>
      <c r="K23" s="7" t="inlineStr"/>
      <c r="L23" s="7" t="inlineStr"/>
      <c r="M23" s="7" t="inlineStr"/>
      <c r="N23" s="7" t="inlineStr"/>
    </row>
    <row r="24" ht="55" customHeight="1">
      <c r="A24" s="17" t="inlineStr">
        <is>
          <t>ATT-021</t>
        </is>
      </c>
      <c r="B24" s="17" t="inlineStr">
        <is>
          <t>Linear Progress</t>
        </is>
      </c>
      <c r="C24" s="17" t="inlineStr">
        <is>
          <t>Session duration progress bar shows time remaining</t>
        </is>
      </c>
      <c r="D24" s="28" t="inlineStr">
        <is>
          <t>Low</t>
        </is>
      </c>
      <c r="E24" s="17" t="inlineStr">
        <is>
          <t>UI</t>
        </is>
      </c>
      <c r="F24" s="17" t="inlineStr">
        <is>
          <t>Active session.</t>
        </is>
      </c>
      <c r="G24" s="17" t="inlineStr">
        <is>
          <t>View session card
Observe LinearProgress bar</t>
        </is>
      </c>
      <c r="H24" s="17" t="inlineStr">
        <is>
          <t>N/A.</t>
        </is>
      </c>
      <c r="I24" s="17" t="inlineStr">
        <is>
          <t>LinearProgress bar updates in real-time showing session time remaining.</t>
        </is>
      </c>
      <c r="J24" s="17" t="inlineStr"/>
      <c r="K24" s="17" t="inlineStr"/>
      <c r="L24" s="17" t="inlineStr"/>
      <c r="M24" s="17" t="inlineStr"/>
      <c r="N24" s="17" t="inlineStr"/>
    </row>
    <row r="25" ht="55" customHeight="1">
      <c r="A25" s="7" t="inlineStr">
        <is>
          <t>ATT-022</t>
        </is>
      </c>
      <c r="B25" s="7" t="inlineStr">
        <is>
          <t>Refresh</t>
        </is>
      </c>
      <c r="C25" s="7" t="inlineStr">
        <is>
          <t>Refresh button reloads sessions list</t>
        </is>
      </c>
      <c r="D25" s="20" t="inlineStr">
        <is>
          <t>Medium</t>
        </is>
      </c>
      <c r="E25" s="7" t="inlineStr">
        <is>
          <t>Functional</t>
        </is>
      </c>
      <c r="F25" s="7" t="inlineStr">
        <is>
          <t>Sessions page loaded.</t>
        </is>
      </c>
      <c r="G25" s="7" t="inlineStr">
        <is>
          <t>Click Refresh (RefreshIcon button)</t>
        </is>
      </c>
      <c r="H25" s="7" t="inlineStr">
        <is>
          <t>Page full reload.</t>
        </is>
      </c>
      <c r="I25" s="7" t="inlineStr">
        <is>
          <t>V2: Async refresh without page reload. Spinner shown.</t>
        </is>
      </c>
      <c r="J25" s="7" t="inlineStr"/>
      <c r="K25" s="7" t="inlineStr"/>
      <c r="L25" s="7" t="inlineStr"/>
      <c r="M25" s="7" t="inlineStr"/>
      <c r="N25" s="7" t="inlineStr"/>
    </row>
    <row r="26" ht="55" customHeight="1">
      <c r="A26" s="17" t="inlineStr">
        <is>
          <t>ATT-023</t>
        </is>
      </c>
      <c r="B26" s="17" t="inlineStr">
        <is>
          <t>Edge</t>
        </is>
      </c>
      <c r="C26" s="17" t="inlineStr">
        <is>
          <t>Session with 0 students handles gracefully</t>
        </is>
      </c>
      <c r="D26" s="20" t="inlineStr">
        <is>
          <t>Medium</t>
        </is>
      </c>
      <c r="E26" s="17" t="inlineStr">
        <is>
          <t>Edge</t>
        </is>
      </c>
      <c r="F26" s="17" t="inlineStr">
        <is>
          <t>Empty class.</t>
        </is>
      </c>
      <c r="G26" s="17" t="inlineStr">
        <is>
          <t>Create session for empty class
View report</t>
        </is>
      </c>
      <c r="H26" s="17" t="inlineStr">
        <is>
          <t>Error or empty state.</t>
        </is>
      </c>
      <c r="I26" s="17" t="inlineStr">
        <is>
          <t>V2: Empty state message: No students in this session.</t>
        </is>
      </c>
      <c r="J26" s="17" t="inlineStr"/>
      <c r="K26" s="17" t="inlineStr"/>
      <c r="L26" s="17" t="inlineStr"/>
      <c r="M26" s="17" t="inlineStr"/>
      <c r="N26" s="17" t="inlineStr"/>
    </row>
    <row r="27" ht="55" customHeight="1">
      <c r="A27" s="7" t="inlineStr">
        <is>
          <t>ATT-024</t>
        </is>
      </c>
      <c r="B27" s="7" t="inlineStr">
        <is>
          <t>Role</t>
        </is>
      </c>
      <c r="C27" s="7" t="inlineStr">
        <is>
          <t>Applicant cannot access attendance page</t>
        </is>
      </c>
      <c r="D27" s="19" t="inlineStr">
        <is>
          <t>High</t>
        </is>
      </c>
      <c r="E27" s="7" t="inlineStr">
        <is>
          <t>Security</t>
        </is>
      </c>
      <c r="F27" s="7" t="inlineStr">
        <is>
          <t>Applicant logged in.</t>
        </is>
      </c>
      <c r="G27" s="7" t="inlineStr">
        <is>
          <t>Navigate to /admin/attendance</t>
        </is>
      </c>
      <c r="H27" s="7" t="inlineStr">
        <is>
          <t>Redirect.</t>
        </is>
      </c>
      <c r="I27" s="7" t="inlineStr">
        <is>
          <t>403 Forbidden.</t>
        </is>
      </c>
      <c r="J27" s="7" t="inlineStr"/>
      <c r="K27" s="7" t="inlineStr"/>
      <c r="L27" s="7" t="inlineStr"/>
      <c r="M27" s="7" t="inlineStr"/>
      <c r="N27" s="7" t="inlineStr"/>
    </row>
    <row r="29">
      <c r="A29" s="38" t="inlineStr">
        <is>
          <t>TOTAL TEST CASES: 24</t>
        </is>
      </c>
      <c r="B29" s="22" t="n"/>
      <c r="C29" s="22" t="n"/>
      <c r="D29" s="22" t="n"/>
      <c r="E29" s="23">
        <f>COUNTIF(K4:K27,"✅ PASS")</f>
        <v/>
      </c>
      <c r="F29" s="24">
        <f>COUNTIF(K4:K27,"❌ FAIL")</f>
        <v/>
      </c>
      <c r="G29" s="22" t="inlineStr">
        <is>
          <t>V1 Pass%</t>
        </is>
      </c>
      <c r="H29" s="25">
        <f>IFERROR(E29/(24)*100,0)&amp;"%"</f>
        <v/>
      </c>
      <c r="I29" s="23">
        <f>COUNTIF(M4:M27,"✅ PASS")</f>
        <v/>
      </c>
      <c r="J29" s="24">
        <f>COUNTIF(M4:M27,"❌ FAIL")</f>
        <v/>
      </c>
      <c r="K29" s="22" t="inlineStr">
        <is>
          <t>V2 Pass%</t>
        </is>
      </c>
      <c r="L29" s="25">
        <f>IFERROR(I29/(24)*100,0)&amp;"%"</f>
        <v/>
      </c>
      <c r="M29" s="22" t="n"/>
      <c r="N29" s="22" t="n"/>
    </row>
  </sheetData>
  <mergeCells count="3">
    <mergeCell ref="A29:D29"/>
    <mergeCell ref="A2:N2"/>
    <mergeCell ref="A1:N1"/>
  </mergeCells>
  <dataValidations count="2">
    <dataValidation sqref="K4:K27" showDropDown="0" showInputMessage="0" showErrorMessage="0" allowBlank="0" type="list">
      <formula1>"✅ PASS,❌ FAIL,🔶 BLOCKED,⬜ NOT RUN,➡️ N/A"</formula1>
    </dataValidation>
    <dataValidation sqref="M4:M27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39" t="inlineStr">
        <is>
          <t>🧪  Attendance Analytics — Cross-Session Reports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3" t="inlineStr">
        <is>
          <t>Test ID</t>
        </is>
      </c>
      <c r="B3" s="3" t="inlineStr">
        <is>
          <t>Category</t>
        </is>
      </c>
      <c r="C3" s="3" t="inlineStr">
        <is>
          <t>Test Case Name</t>
        </is>
      </c>
      <c r="D3" s="3" t="inlineStr">
        <is>
          <t>Priority</t>
        </is>
      </c>
      <c r="E3" s="3" t="inlineStr">
        <is>
          <t>Type</t>
        </is>
      </c>
      <c r="F3" s="3" t="inlineStr">
        <is>
          <t>Pre-conditions</t>
        </is>
      </c>
      <c r="G3" s="3" t="inlineStr">
        <is>
          <t>Test Steps</t>
        </is>
      </c>
      <c r="H3" s="3" t="inlineStr">
        <is>
          <t>Expected Result (V1)</t>
        </is>
      </c>
      <c r="I3" s="3" t="inlineStr">
        <is>
          <t>Expected Result (V2)</t>
        </is>
      </c>
      <c r="J3" s="3" t="inlineStr">
        <is>
          <t>Actual Result (V1)</t>
        </is>
      </c>
      <c r="K3" s="3" t="inlineStr">
        <is>
          <t>Status V1</t>
        </is>
      </c>
      <c r="L3" s="3" t="inlineStr">
        <is>
          <t>Actual Result (V2)</t>
        </is>
      </c>
      <c r="M3" s="3" t="inlineStr">
        <is>
          <t>Status V2</t>
        </is>
      </c>
      <c r="N3" s="3" t="inlineStr">
        <is>
          <t>Notes / Defect ID</t>
        </is>
      </c>
    </row>
    <row r="4" ht="55" customHeight="1">
      <c r="A4" s="17" t="inlineStr">
        <is>
          <t>ANA-001</t>
        </is>
      </c>
      <c r="B4" s="17" t="inlineStr">
        <is>
          <t>Overview</t>
        </is>
      </c>
      <c r="C4" s="17" t="inlineStr">
        <is>
          <t>Analytics page loads with session summary rings</t>
        </is>
      </c>
      <c r="D4" s="19" t="inlineStr">
        <is>
          <t>High</t>
        </is>
      </c>
      <c r="E4" s="17" t="inlineStr">
        <is>
          <t>Functional</t>
        </is>
      </c>
      <c r="F4" s="17" t="inlineStr">
        <is>
          <t>Multiple sessions with records.</t>
        </is>
      </c>
      <c r="G4" s="17" t="inlineStr">
        <is>
          <t>Navigate to /admin/emp-attendance (Analytics page)</t>
        </is>
      </c>
      <c r="H4" s="17" t="inlineStr">
        <is>
          <t>Basic session list.</t>
        </is>
      </c>
      <c r="I4" s="17" t="inlineStr">
        <is>
          <t>MiniRing SVG charts per session showing present/absent %. Cards animate in.</t>
        </is>
      </c>
      <c r="J4" s="17" t="inlineStr"/>
      <c r="K4" s="17" t="inlineStr"/>
      <c r="L4" s="17" t="inlineStr"/>
      <c r="M4" s="17" t="inlineStr"/>
      <c r="N4" s="17" t="inlineStr">
        <is>
          <t>Page repurposed from Employee Attendance to Attendance Analytics</t>
        </is>
      </c>
    </row>
    <row r="5" ht="55" customHeight="1">
      <c r="A5" s="7" t="inlineStr">
        <is>
          <t>ANA-002</t>
        </is>
      </c>
      <c r="B5" s="7" t="inlineStr">
        <is>
          <t>Drill-Down</t>
        </is>
      </c>
      <c r="C5" s="7" t="inlineStr">
        <is>
          <t>Click session ring to view full report</t>
        </is>
      </c>
      <c r="D5" s="19" t="inlineStr">
        <is>
          <t>High</t>
        </is>
      </c>
      <c r="E5" s="7" t="inlineStr">
        <is>
          <t>Functional</t>
        </is>
      </c>
      <c r="F5" s="7" t="inlineStr">
        <is>
          <t>Sessions with records.</t>
        </is>
      </c>
      <c r="G5" s="7" t="inlineStr">
        <is>
          <t>Click on a session ring/card
View detailed report</t>
        </is>
      </c>
      <c r="H5" s="7" t="inlineStr">
        <is>
          <t>N/A.</t>
        </is>
      </c>
      <c r="I5" s="7" t="inlineStr">
        <is>
          <t>Drill-down to session detail. DataTable with per-student status.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ANA-003</t>
        </is>
      </c>
      <c r="B6" s="17" t="inlineStr">
        <is>
          <t>Summary Stats</t>
        </is>
      </c>
      <c r="C6" s="17" t="inlineStr">
        <is>
          <t>Total present / late / absent counts displayed</t>
        </is>
      </c>
      <c r="D6" s="19" t="inlineStr">
        <is>
          <t>High</t>
        </is>
      </c>
      <c r="E6" s="17" t="inlineStr">
        <is>
          <t>Functional</t>
        </is>
      </c>
      <c r="F6" s="17" t="inlineStr">
        <is>
          <t>Sessions with all three statuses.</t>
        </is>
      </c>
      <c r="G6" s="17" t="inlineStr">
        <is>
          <t>View analytics page summary</t>
        </is>
      </c>
      <c r="H6" s="17" t="inlineStr">
        <is>
          <t>N/A.</t>
        </is>
      </c>
      <c r="I6" s="17" t="inlineStr">
        <is>
          <t>Stat cards: Total Present (green), Late (gold), Absent (red) across all sessions.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ANA-004</t>
        </is>
      </c>
      <c r="B7" s="7" t="inlineStr">
        <is>
          <t>Navigation</t>
        </is>
      </c>
      <c r="C7" s="7" t="inlineStr">
        <is>
          <t>Back arrow navigates to main attendance</t>
        </is>
      </c>
      <c r="D7" s="20" t="inlineStr">
        <is>
          <t>Medium</t>
        </is>
      </c>
      <c r="E7" s="7" t="inlineStr">
        <is>
          <t>Functional</t>
        </is>
      </c>
      <c r="F7" s="7" t="inlineStr">
        <is>
          <t>On analytics page.</t>
        </is>
      </c>
      <c r="G7" s="7" t="inlineStr">
        <is>
          <t>Click back arrow (ArrowBack icon)</t>
        </is>
      </c>
      <c r="H7" s="7" t="inlineStr">
        <is>
          <t>N/A.</t>
        </is>
      </c>
      <c r="I7" s="7" t="inlineStr">
        <is>
          <t>Router navigates to /admin/attendance.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ANA-005</t>
        </is>
      </c>
      <c r="B8" s="17" t="inlineStr">
        <is>
          <t>Date Range</t>
        </is>
      </c>
      <c r="C8" s="17" t="inlineStr">
        <is>
          <t>Filter analytics by date range</t>
        </is>
      </c>
      <c r="D8" s="20" t="inlineStr">
        <is>
          <t>Medium</t>
        </is>
      </c>
      <c r="E8" s="17" t="inlineStr">
        <is>
          <t>Functional</t>
        </is>
      </c>
      <c r="F8" s="17" t="inlineStr">
        <is>
          <t>Sessions on different dates.</t>
        </is>
      </c>
      <c r="G8" s="17" t="inlineStr">
        <is>
          <t>Enter start date and end date
Apply filter</t>
        </is>
      </c>
      <c r="H8" s="17" t="inlineStr">
        <is>
          <t>N/A.</t>
        </is>
      </c>
      <c r="I8" s="17" t="inlineStr">
        <is>
          <t>Only sessions within date range shown.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ANA-006</t>
        </is>
      </c>
      <c r="B9" s="7" t="inlineStr">
        <is>
          <t>Class Filter</t>
        </is>
      </c>
      <c r="C9" s="7" t="inlineStr">
        <is>
          <t>Filter analytics by class</t>
        </is>
      </c>
      <c r="D9" s="20" t="inlineStr">
        <is>
          <t>Medium</t>
        </is>
      </c>
      <c r="E9" s="7" t="inlineStr">
        <is>
          <t>Functional</t>
        </is>
      </c>
      <c r="F9" s="7" t="inlineStr">
        <is>
          <t>Sessions for multiple classes.</t>
        </is>
      </c>
      <c r="G9" s="7" t="inlineStr">
        <is>
          <t>Select class from dropdown</t>
        </is>
      </c>
      <c r="H9" s="7" t="inlineStr">
        <is>
          <t>N/A.</t>
        </is>
      </c>
      <c r="I9" s="7" t="inlineStr">
        <is>
          <t>Analytics filtered to selected class.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ANA-007</t>
        </is>
      </c>
      <c r="B10" s="17" t="inlineStr">
        <is>
          <t>Trend</t>
        </is>
      </c>
      <c r="C10" s="17" t="inlineStr">
        <is>
          <t>Attendance trend chart shows weekly improvement</t>
        </is>
      </c>
      <c r="D10" s="19" t="inlineStr">
        <is>
          <t>High</t>
        </is>
      </c>
      <c r="E10" s="17" t="inlineStr">
        <is>
          <t>Functional</t>
        </is>
      </c>
      <c r="F10" s="17" t="inlineStr">
        <is>
          <t>Sessions spanning multiple weeks.</t>
        </is>
      </c>
      <c r="G10" s="17" t="inlineStr">
        <is>
          <t>View trend section</t>
        </is>
      </c>
      <c r="H10" s="17" t="inlineStr">
        <is>
          <t>N/A.</t>
        </is>
      </c>
      <c r="I10" s="17" t="inlineStr">
        <is>
          <t>Line/bar chart showing attendance % per week.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ANA-008</t>
        </is>
      </c>
      <c r="B11" s="7" t="inlineStr">
        <is>
          <t>Lowest</t>
        </is>
      </c>
      <c r="C11" s="7" t="inlineStr">
        <is>
          <t>Identifies students with lowest attendance</t>
        </is>
      </c>
      <c r="D11" s="19" t="inlineStr">
        <is>
          <t>High</t>
        </is>
      </c>
      <c r="E11" s="7" t="inlineStr">
        <is>
          <t>Functional</t>
        </is>
      </c>
      <c r="F11" s="7" t="inlineStr">
        <is>
          <t>Multiple students with varying attendance.</t>
        </is>
      </c>
      <c r="G11" s="7" t="inlineStr">
        <is>
          <t>View "At Risk Students" section</t>
        </is>
      </c>
      <c r="H11" s="7" t="inlineStr">
        <is>
          <t>N/A.</t>
        </is>
      </c>
      <c r="I11" s="7" t="inlineStr">
        <is>
          <t>List of students below attendance threshold (e.g., &lt;75%) highlighted.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ANA-009</t>
        </is>
      </c>
      <c r="B12" s="17" t="inlineStr">
        <is>
          <t>Export</t>
        </is>
      </c>
      <c r="C12" s="17" t="inlineStr">
        <is>
          <t>Export cross-session analytics report</t>
        </is>
      </c>
      <c r="D12" s="20" t="inlineStr">
        <is>
          <t>Medium</t>
        </is>
      </c>
      <c r="E12" s="17" t="inlineStr">
        <is>
          <t>Functional</t>
        </is>
      </c>
      <c r="F12" s="17" t="inlineStr">
        <is>
          <t>Analytics data loaded.</t>
        </is>
      </c>
      <c r="G12" s="17" t="inlineStr">
        <is>
          <t>Click Export button</t>
        </is>
      </c>
      <c r="H12" s="17" t="inlineStr">
        <is>
          <t>N/A.</t>
        </is>
      </c>
      <c r="I12" s="17" t="inlineStr">
        <is>
          <t>CSV or PDF report downloaded with cross-session stats.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ANA-010</t>
        </is>
      </c>
      <c r="B13" s="7" t="inlineStr">
        <is>
          <t>Performance</t>
        </is>
      </c>
      <c r="C13" s="7" t="inlineStr">
        <is>
          <t>Analytics page loads within 3s for 100 sessions</t>
        </is>
      </c>
      <c r="D13" s="20" t="inlineStr">
        <is>
          <t>Medium</t>
        </is>
      </c>
      <c r="E13" s="7" t="inlineStr">
        <is>
          <t>Performance</t>
        </is>
      </c>
      <c r="F13" s="7" t="inlineStr">
        <is>
          <t>100 sessions in DB.</t>
        </is>
      </c>
      <c r="G13" s="7" t="inlineStr">
        <is>
          <t>Load analytics page
Measure time</t>
        </is>
      </c>
      <c r="H13" s="7" t="inlineStr">
        <is>
          <t>N/A.</t>
        </is>
      </c>
      <c r="I13" s="7" t="inlineStr">
        <is>
          <t>&lt; 3 seconds with aggregated query. No N+1 problem.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ANA-011</t>
        </is>
      </c>
      <c r="B14" s="17" t="inlineStr">
        <is>
          <t>Empty State</t>
        </is>
      </c>
      <c r="C14" s="17" t="inlineStr">
        <is>
          <t>Empty state when no sessions exist</t>
        </is>
      </c>
      <c r="D14" s="28" t="inlineStr">
        <is>
          <t>Low</t>
        </is>
      </c>
      <c r="E14" s="17" t="inlineStr">
        <is>
          <t>Edge</t>
        </is>
      </c>
      <c r="F14" s="17" t="inlineStr">
        <is>
          <t>No sessions created.</t>
        </is>
      </c>
      <c r="G14" s="17" t="inlineStr">
        <is>
          <t>Load analytics page</t>
        </is>
      </c>
      <c r="H14" s="17" t="inlineStr">
        <is>
          <t>Error or blank screen.</t>
        </is>
      </c>
      <c r="I14" s="17" t="inlineStr">
        <is>
          <t>Empty state: No sessions yet. Create one in Attendance.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ANA-012</t>
        </is>
      </c>
      <c r="B15" s="7" t="inlineStr">
        <is>
          <t>Ring Chart</t>
        </is>
      </c>
      <c r="C15" s="7" t="inlineStr">
        <is>
          <t>MiniRing SVG renders at 100% attendance</t>
        </is>
      </c>
      <c r="D15" s="20" t="inlineStr">
        <is>
          <t>Medium</t>
        </is>
      </c>
      <c r="E15" s="7" t="inlineStr">
        <is>
          <t>UI</t>
        </is>
      </c>
      <c r="F15" s="7" t="inlineStr">
        <is>
          <t>Session with 100% present.</t>
        </is>
      </c>
      <c r="G15" s="7" t="inlineStr">
        <is>
          <t>View session ring</t>
        </is>
      </c>
      <c r="H15" s="7" t="inlineStr">
        <is>
          <t>N/A.</t>
        </is>
      </c>
      <c r="I15" s="7" t="inlineStr">
        <is>
          <t>Full circle ring in green. No gap.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ANA-013</t>
        </is>
      </c>
      <c r="B16" s="17" t="inlineStr">
        <is>
          <t>Ring Chart</t>
        </is>
      </c>
      <c r="C16" s="17" t="inlineStr">
        <is>
          <t>MiniRing SVG renders at 0% attendance</t>
        </is>
      </c>
      <c r="D16" s="20" t="inlineStr">
        <is>
          <t>Medium</t>
        </is>
      </c>
      <c r="E16" s="17" t="inlineStr">
        <is>
          <t>UI</t>
        </is>
      </c>
      <c r="F16" s="17" t="inlineStr">
        <is>
          <t>Session with 0 present.</t>
        </is>
      </c>
      <c r="G16" s="17" t="inlineStr">
        <is>
          <t>View session ring</t>
        </is>
      </c>
      <c r="H16" s="17" t="inlineStr">
        <is>
          <t>N/A.</t>
        </is>
      </c>
      <c r="I16" s="17" t="inlineStr">
        <is>
          <t>Empty ring (grey). 0% displayed.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ANA-014</t>
        </is>
      </c>
      <c r="B17" s="7" t="inlineStr">
        <is>
          <t>Access</t>
        </is>
      </c>
      <c r="C17" s="7" t="inlineStr">
        <is>
          <t>Student cannot access analytics page</t>
        </is>
      </c>
      <c r="D17" s="19" t="inlineStr">
        <is>
          <t>High</t>
        </is>
      </c>
      <c r="E17" s="7" t="inlineStr">
        <is>
          <t>Security</t>
        </is>
      </c>
      <c r="F17" s="7" t="inlineStr">
        <is>
          <t>Student logged in.</t>
        </is>
      </c>
      <c r="G17" s="7" t="inlineStr">
        <is>
          <t>Navigate to /admin/emp-attendance</t>
        </is>
      </c>
      <c r="H17" s="7" t="inlineStr">
        <is>
          <t>Redirect.</t>
        </is>
      </c>
      <c r="I17" s="7" t="inlineStr">
        <is>
          <t>403 Forbidden. Admin/Staff only.</t>
        </is>
      </c>
      <c r="J17" s="7" t="inlineStr"/>
      <c r="K17" s="7" t="inlineStr"/>
      <c r="L17" s="7" t="inlineStr"/>
      <c r="M17" s="7" t="inlineStr"/>
      <c r="N17" s="7" t="inlineStr"/>
    </row>
    <row r="19">
      <c r="A19" s="40" t="inlineStr">
        <is>
          <t>TOTAL TEST CASES: 14</t>
        </is>
      </c>
      <c r="B19" s="22" t="n"/>
      <c r="C19" s="22" t="n"/>
      <c r="D19" s="22" t="n"/>
      <c r="E19" s="23">
        <f>COUNTIF(K4:K17,"✅ PASS")</f>
        <v/>
      </c>
      <c r="F19" s="24">
        <f>COUNTIF(K4:K17,"❌ FAIL")</f>
        <v/>
      </c>
      <c r="G19" s="22" t="inlineStr">
        <is>
          <t>V1 Pass%</t>
        </is>
      </c>
      <c r="H19" s="25">
        <f>IFERROR(E19/(14)*100,0)&amp;"%"</f>
        <v/>
      </c>
      <c r="I19" s="23">
        <f>COUNTIF(M4:M17,"✅ PASS")</f>
        <v/>
      </c>
      <c r="J19" s="24">
        <f>COUNTIF(M4:M17,"❌ FAIL")</f>
        <v/>
      </c>
      <c r="K19" s="22" t="inlineStr">
        <is>
          <t>V2 Pass%</t>
        </is>
      </c>
      <c r="L19" s="25">
        <f>IFERROR(I19/(14)*100,0)&amp;"%"</f>
        <v/>
      </c>
      <c r="M19" s="22" t="n"/>
      <c r="N19" s="22" t="n"/>
    </row>
  </sheetData>
  <mergeCells count="3">
    <mergeCell ref="A2:N2"/>
    <mergeCell ref="A19:D19"/>
    <mergeCell ref="A1:N1"/>
  </mergeCells>
  <dataValidations count="2">
    <dataValidation sqref="K4:K17" showDropDown="0" showInputMessage="0" showErrorMessage="0" allowBlank="0" type="list">
      <formula1>"✅ PASS,❌ FAIL,🔶 BLOCKED,⬜ NOT RUN,➡️ N/A"</formula1>
    </dataValidation>
    <dataValidation sqref="M4:M17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41" t="inlineStr">
        <is>
          <t>🧪  Complaints &amp; Support Tickets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42" t="inlineStr">
        <is>
          <t>Test ID</t>
        </is>
      </c>
      <c r="B3" s="42" t="inlineStr">
        <is>
          <t>Category</t>
        </is>
      </c>
      <c r="C3" s="42" t="inlineStr">
        <is>
          <t>Test Case Name</t>
        </is>
      </c>
      <c r="D3" s="42" t="inlineStr">
        <is>
          <t>Priority</t>
        </is>
      </c>
      <c r="E3" s="42" t="inlineStr">
        <is>
          <t>Type</t>
        </is>
      </c>
      <c r="F3" s="42" t="inlineStr">
        <is>
          <t>Pre-conditions</t>
        </is>
      </c>
      <c r="G3" s="42" t="inlineStr">
        <is>
          <t>Test Steps</t>
        </is>
      </c>
      <c r="H3" s="42" t="inlineStr">
        <is>
          <t>Expected Result (V1)</t>
        </is>
      </c>
      <c r="I3" s="42" t="inlineStr">
        <is>
          <t>Expected Result (V2)</t>
        </is>
      </c>
      <c r="J3" s="42" t="inlineStr">
        <is>
          <t>Actual Result (V1)</t>
        </is>
      </c>
      <c r="K3" s="42" t="inlineStr">
        <is>
          <t>Status V1</t>
        </is>
      </c>
      <c r="L3" s="42" t="inlineStr">
        <is>
          <t>Actual Result (V2)</t>
        </is>
      </c>
      <c r="M3" s="42" t="inlineStr">
        <is>
          <t>Status V2</t>
        </is>
      </c>
      <c r="N3" s="42" t="inlineStr">
        <is>
          <t>Notes / Defect ID</t>
        </is>
      </c>
    </row>
    <row r="4" ht="55" customHeight="1">
      <c r="A4" s="17" t="inlineStr">
        <is>
          <t>CMP-001</t>
        </is>
      </c>
      <c r="B4" s="17" t="inlineStr">
        <is>
          <t>Create</t>
        </is>
      </c>
      <c r="C4" s="17" t="inlineStr">
        <is>
          <t>Student creates support ticket</t>
        </is>
      </c>
      <c r="D4" s="18" t="inlineStr">
        <is>
          <t>Critical</t>
        </is>
      </c>
      <c r="E4" s="17" t="inlineStr">
        <is>
          <t>Functional</t>
        </is>
      </c>
      <c r="F4" s="17" t="inlineStr">
        <is>
          <t>Student logged in.</t>
        </is>
      </c>
      <c r="G4" s="17" t="inlineStr">
        <is>
          <t>Navigate to complaints/support
Click New Ticket
Enter title and description
Submit</t>
        </is>
      </c>
      <c r="H4" s="17" t="inlineStr">
        <is>
          <t>Ticket created with status=OPEN. Appears in student ticket list.</t>
        </is>
      </c>
      <c r="I4" s="17" t="inlineStr">
        <is>
          <t>Same + In-app notification sent to assigned staff.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CMP-002</t>
        </is>
      </c>
      <c r="B5" s="7" t="inlineStr">
        <is>
          <t>Create</t>
        </is>
      </c>
      <c r="C5" s="7" t="inlineStr">
        <is>
          <t>Ticket requires minimum description length</t>
        </is>
      </c>
      <c r="D5" s="20" t="inlineStr">
        <is>
          <t>Medium</t>
        </is>
      </c>
      <c r="E5" s="7" t="inlineStr">
        <is>
          <t>Negative</t>
        </is>
      </c>
      <c r="F5" s="7" t="inlineStr">
        <is>
          <t>Ticket creation form open.</t>
        </is>
      </c>
      <c r="G5" s="7" t="inlineStr">
        <is>
          <t>Submit ticket with 1-character description</t>
        </is>
      </c>
      <c r="H5" s="7" t="inlineStr">
        <is>
          <t>V1 BUG: Short descriptions accepted.</t>
        </is>
      </c>
      <c r="I5" s="7" t="inlineStr">
        <is>
          <t>V2 FIX: Validation: Minimum 20 characters required.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CMP-003</t>
        </is>
      </c>
      <c r="B6" s="17" t="inlineStr">
        <is>
          <t>Staff View</t>
        </is>
      </c>
      <c r="C6" s="17" t="inlineStr">
        <is>
          <t>Staff sees all open complaints</t>
        </is>
      </c>
      <c r="D6" s="18" t="inlineStr">
        <is>
          <t>Critical</t>
        </is>
      </c>
      <c r="E6" s="17" t="inlineStr">
        <is>
          <t>Functional</t>
        </is>
      </c>
      <c r="F6" s="17" t="inlineStr">
        <is>
          <t>Staff logged in. Complaints exist.</t>
        </is>
      </c>
      <c r="G6" s="17" t="inlineStr">
        <is>
          <t>Navigate to /admin/complaints</t>
        </is>
      </c>
      <c r="H6" s="17" t="inlineStr">
        <is>
          <t>List of complaints with status chips.</t>
        </is>
      </c>
      <c r="I6" s="17" t="inlineStr">
        <is>
          <t>Same + real-time status color coding (Open=blue, In Progress=gold, Resolved=green).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CMP-004</t>
        </is>
      </c>
      <c r="B7" s="7" t="inlineStr">
        <is>
          <t>Staff Response</t>
        </is>
      </c>
      <c r="C7" s="7" t="inlineStr">
        <is>
          <t>Staff sends chat response to complaint</t>
        </is>
      </c>
      <c r="D7" s="18" t="inlineStr">
        <is>
          <t>Critical</t>
        </is>
      </c>
      <c r="E7" s="7" t="inlineStr">
        <is>
          <t>Functional</t>
        </is>
      </c>
      <c r="F7" s="7" t="inlineStr">
        <is>
          <t>Open complaint exists.</t>
        </is>
      </c>
      <c r="G7" s="7" t="inlineStr">
        <is>
          <t>Click complaint
Type response in chat box
Send</t>
        </is>
      </c>
      <c r="H7" s="7" t="inlineStr">
        <is>
          <t>Response added to ticket thread.</t>
        </is>
      </c>
      <c r="I7" s="7" t="inlineStr">
        <is>
          <t>Same + AnimatePresence animation on new message. Real-time update.</t>
        </is>
      </c>
      <c r="J7" s="7" t="inlineStr"/>
      <c r="K7" s="7" t="inlineStr"/>
      <c r="L7" s="7" t="inlineStr"/>
      <c r="M7" s="7" t="inlineStr"/>
      <c r="N7" s="7" t="inlineStr">
        <is>
          <t>Animated chat UI</t>
        </is>
      </c>
    </row>
    <row r="8" ht="55" customHeight="1">
      <c r="A8" s="17" t="inlineStr">
        <is>
          <t>CMP-005</t>
        </is>
      </c>
      <c r="B8" s="17" t="inlineStr">
        <is>
          <t>Status</t>
        </is>
      </c>
      <c r="C8" s="17" t="inlineStr">
        <is>
          <t>Staff changes complaint status to In Progress</t>
        </is>
      </c>
      <c r="D8" s="19" t="inlineStr">
        <is>
          <t>High</t>
        </is>
      </c>
      <c r="E8" s="17" t="inlineStr">
        <is>
          <t>Functional</t>
        </is>
      </c>
      <c r="F8" s="17" t="inlineStr">
        <is>
          <t>Complaint = OPEN.</t>
        </is>
      </c>
      <c r="G8" s="17" t="inlineStr">
        <is>
          <t>Open complaint
Change status to In Progress</t>
        </is>
      </c>
      <c r="H8" s="17" t="inlineStr">
        <is>
          <t>Status updated.</t>
        </is>
      </c>
      <c r="I8" s="17" t="inlineStr">
        <is>
          <t>Same + status chip color changes to gold. Student notified.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CMP-006</t>
        </is>
      </c>
      <c r="B9" s="7" t="inlineStr">
        <is>
          <t>Resolve</t>
        </is>
      </c>
      <c r="C9" s="7" t="inlineStr">
        <is>
          <t>Staff resolves complaint</t>
        </is>
      </c>
      <c r="D9" s="18" t="inlineStr">
        <is>
          <t>Critical</t>
        </is>
      </c>
      <c r="E9" s="7" t="inlineStr">
        <is>
          <t>Functional</t>
        </is>
      </c>
      <c r="F9" s="7" t="inlineStr">
        <is>
          <t>Complaint = IN_PROGRESS.</t>
        </is>
      </c>
      <c r="G9" s="7" t="inlineStr">
        <is>
          <t>Click Resolve (CheckCircle icon)
Confirm</t>
        </is>
      </c>
      <c r="H9" s="7" t="inlineStr">
        <is>
          <t>Status = RESOLVED.</t>
        </is>
      </c>
      <c r="I9" s="7" t="inlineStr">
        <is>
          <t>Same + Student receives resolution notification. Ticket locked from further edits.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CMP-007</t>
        </is>
      </c>
      <c r="B10" s="17" t="inlineStr">
        <is>
          <t>Student View</t>
        </is>
      </c>
      <c r="C10" s="17" t="inlineStr">
        <is>
          <t>Student sees ticket response from staff</t>
        </is>
      </c>
      <c r="D10" s="19" t="inlineStr">
        <is>
          <t>High</t>
        </is>
      </c>
      <c r="E10" s="17" t="inlineStr">
        <is>
          <t>Functional</t>
        </is>
      </c>
      <c r="F10" s="17" t="inlineStr">
        <is>
          <t>Staff responded to ticket.</t>
        </is>
      </c>
      <c r="G10" s="17" t="inlineStr">
        <is>
          <t>Login as student
View complaint thread</t>
        </is>
      </c>
      <c r="H10" s="17" t="inlineStr">
        <is>
          <t>Staff response shown.</t>
        </is>
      </c>
      <c r="I10" s="17" t="inlineStr">
        <is>
          <t>Chat bubble interface with SupportAgent icon for staff vs PersonIcon for student.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CMP-008</t>
        </is>
      </c>
      <c r="B11" s="7" t="inlineStr">
        <is>
          <t>Security</t>
        </is>
      </c>
      <c r="C11" s="7" t="inlineStr">
        <is>
          <t>Student cannot see other students complaints</t>
        </is>
      </c>
      <c r="D11" s="18" t="inlineStr">
        <is>
          <t>Critical</t>
        </is>
      </c>
      <c r="E11" s="7" t="inlineStr">
        <is>
          <t>Security</t>
        </is>
      </c>
      <c r="F11" s="7" t="inlineStr">
        <is>
          <t>Two students with complaints.</t>
        </is>
      </c>
      <c r="G11" s="7" t="inlineStr">
        <is>
          <t>Login as Student A
Attempt GET /api/complaints (all)</t>
        </is>
      </c>
      <c r="H11" s="7" t="inlineStr">
        <is>
          <t>V1 BUG: May return all complaints.</t>
        </is>
      </c>
      <c r="I11" s="7" t="inlineStr">
        <is>
          <t>V2 FIX: Only own complaints returned.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CMP-009</t>
        </is>
      </c>
      <c r="B12" s="17" t="inlineStr">
        <is>
          <t>Security</t>
        </is>
      </c>
      <c r="C12" s="17" t="inlineStr">
        <is>
          <t>Student cannot respond on behalf of staff</t>
        </is>
      </c>
      <c r="D12" s="18" t="inlineStr">
        <is>
          <t>Critical</t>
        </is>
      </c>
      <c r="E12" s="17" t="inlineStr">
        <is>
          <t>Security</t>
        </is>
      </c>
      <c r="F12" s="17" t="inlineStr">
        <is>
          <t>Student JWT.</t>
        </is>
      </c>
      <c r="G12" s="17" t="inlineStr">
        <is>
          <t>POST /api/complaints/{id}/respond with student JWT</t>
        </is>
      </c>
      <c r="H12" s="17" t="inlineStr">
        <is>
          <t>V1 BUG: Endpoint may not check role.</t>
        </is>
      </c>
      <c r="I12" s="17" t="inlineStr">
        <is>
          <t>V2 FIX: 403. Only staff/admin can respond.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CMP-010</t>
        </is>
      </c>
      <c r="B13" s="7" t="inlineStr">
        <is>
          <t>Filters</t>
        </is>
      </c>
      <c r="C13" s="7" t="inlineStr">
        <is>
          <t>Filter complaints by status</t>
        </is>
      </c>
      <c r="D13" s="20" t="inlineStr">
        <is>
          <t>Medium</t>
        </is>
      </c>
      <c r="E13" s="7" t="inlineStr">
        <is>
          <t>Functional</t>
        </is>
      </c>
      <c r="F13" s="7" t="inlineStr">
        <is>
          <t>Complaints in multiple statuses.</t>
        </is>
      </c>
      <c r="G13" s="7" t="inlineStr">
        <is>
          <t>Select filter: Open / In Progress / Resolved</t>
        </is>
      </c>
      <c r="H13" s="7" t="inlineStr">
        <is>
          <t>V1: No filter.</t>
        </is>
      </c>
      <c r="I13" s="7" t="inlineStr">
        <is>
          <t>V2: Filtered view per status.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CMP-011</t>
        </is>
      </c>
      <c r="B14" s="17" t="inlineStr">
        <is>
          <t>Pagination</t>
        </is>
      </c>
      <c r="C14" s="17" t="inlineStr">
        <is>
          <t>Complaint list paginated</t>
        </is>
      </c>
      <c r="D14" s="20" t="inlineStr">
        <is>
          <t>Medium</t>
        </is>
      </c>
      <c r="E14" s="17" t="inlineStr">
        <is>
          <t>Functional</t>
        </is>
      </c>
      <c r="F14" s="17" t="inlineStr">
        <is>
          <t>50+ complaints.</t>
        </is>
      </c>
      <c r="G14" s="17" t="inlineStr">
        <is>
          <t>View complaints list</t>
        </is>
      </c>
      <c r="H14" s="17" t="inlineStr">
        <is>
          <t>V1: All complaints on one page. Slow.</t>
        </is>
      </c>
      <c r="I14" s="17" t="inlineStr">
        <is>
          <t>V2: Paginated. 20 per page.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CMP-012</t>
        </is>
      </c>
      <c r="B15" s="7" t="inlineStr">
        <is>
          <t>Real-time</t>
        </is>
      </c>
      <c r="C15" s="7" t="inlineStr">
        <is>
          <t>New message auto-appears without refresh</t>
        </is>
      </c>
      <c r="D15" s="20" t="inlineStr">
        <is>
          <t>Medium</t>
        </is>
      </c>
      <c r="E15" s="7" t="inlineStr">
        <is>
          <t>Functional</t>
        </is>
      </c>
      <c r="F15" s="7" t="inlineStr">
        <is>
          <t>Complaint chat open on both staff and student browsers.</t>
        </is>
      </c>
      <c r="G15" s="7" t="inlineStr">
        <is>
          <t>Staff sends message
Check student view</t>
        </is>
      </c>
      <c r="H15" s="7" t="inlineStr">
        <is>
          <t>Student must refresh to see message.</t>
        </is>
      </c>
      <c r="I15" s="7" t="inlineStr">
        <is>
          <t>V2: WebSocket or polling. Message appears automatically.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CMP-013</t>
        </is>
      </c>
      <c r="B16" s="17" t="inlineStr">
        <is>
          <t>Closed</t>
        </is>
      </c>
      <c r="C16" s="17" t="inlineStr">
        <is>
          <t>Resolved complaint cannot be reopened by student</t>
        </is>
      </c>
      <c r="D16" s="20" t="inlineStr">
        <is>
          <t>Medium</t>
        </is>
      </c>
      <c r="E16" s="17" t="inlineStr">
        <is>
          <t>Functional</t>
        </is>
      </c>
      <c r="F16" s="17" t="inlineStr">
        <is>
          <t>Complaint status=RESOLVED.</t>
        </is>
      </c>
      <c r="G16" s="17" t="inlineStr">
        <is>
          <t>Student attempts to add message to resolved ticket</t>
        </is>
      </c>
      <c r="H16" s="17" t="inlineStr">
        <is>
          <t>Message may be added.</t>
        </is>
      </c>
      <c r="I16" s="17" t="inlineStr">
        <is>
          <t>V2: Input locked. Contact support to reopen.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CMP-014</t>
        </is>
      </c>
      <c r="B17" s="7" t="inlineStr">
        <is>
          <t>Priority</t>
        </is>
      </c>
      <c r="C17" s="7" t="inlineStr">
        <is>
          <t>Student can set complaint priority</t>
        </is>
      </c>
      <c r="D17" s="20" t="inlineStr">
        <is>
          <t>Medium</t>
        </is>
      </c>
      <c r="E17" s="7" t="inlineStr">
        <is>
          <t>Functional</t>
        </is>
      </c>
      <c r="F17" s="7" t="inlineStr">
        <is>
          <t>Ticket creation form.</t>
        </is>
      </c>
      <c r="G17" s="7" t="inlineStr">
        <is>
          <t>Select priority: Low/Medium/High/Urgent
Submit</t>
        </is>
      </c>
      <c r="H17" s="7" t="inlineStr">
        <is>
          <t>No priority field.</t>
        </is>
      </c>
      <c r="I17" s="7" t="inlineStr">
        <is>
          <t>Priority field available. Staff sees priority badge.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CMP-015</t>
        </is>
      </c>
      <c r="B18" s="17" t="inlineStr">
        <is>
          <t>Audit</t>
        </is>
      </c>
      <c r="C18" s="17" t="inlineStr">
        <is>
          <t>Complaint resolution logged in audit</t>
        </is>
      </c>
      <c r="D18" s="20" t="inlineStr">
        <is>
          <t>Medium</t>
        </is>
      </c>
      <c r="E18" s="17" t="inlineStr">
        <is>
          <t>Functional</t>
        </is>
      </c>
      <c r="F18" s="17" t="inlineStr">
        <is>
          <t>SuperAdmin access.</t>
        </is>
      </c>
      <c r="G18" s="17" t="inlineStr">
        <is>
          <t>Resolve complaint
Check audit log</t>
        </is>
      </c>
      <c r="H18" s="17" t="inlineStr">
        <is>
          <t>V1: Not logged.</t>
        </is>
      </c>
      <c r="I18" s="17" t="inlineStr">
        <is>
          <t>V2: RESOLVE_COMPLAINT event with actor + timestamp.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CMP-016</t>
        </is>
      </c>
      <c r="B19" s="7" t="inlineStr">
        <is>
          <t>SLA</t>
        </is>
      </c>
      <c r="C19" s="7" t="inlineStr">
        <is>
          <t>Old unresolved complaints highlighted</t>
        </is>
      </c>
      <c r="D19" s="28" t="inlineStr">
        <is>
          <t>Low</t>
        </is>
      </c>
      <c r="E19" s="7" t="inlineStr">
        <is>
          <t>Functional</t>
        </is>
      </c>
      <c r="F19" s="7" t="inlineStr">
        <is>
          <t>Complaint open &gt; 48 hours.</t>
        </is>
      </c>
      <c r="G19" s="7" t="inlineStr">
        <is>
          <t>View complaints list</t>
        </is>
      </c>
      <c r="H19" s="7" t="inlineStr">
        <is>
          <t>No SLA indicator.</t>
        </is>
      </c>
      <c r="I19" s="7" t="inlineStr">
        <is>
          <t>V2: Red highlight on complaints older than SLA threshold.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CMP-017</t>
        </is>
      </c>
      <c r="B20" s="17" t="inlineStr">
        <is>
          <t>Refresh</t>
        </is>
      </c>
      <c r="C20" s="17" t="inlineStr">
        <is>
          <t>Refresh button reloads complaints</t>
        </is>
      </c>
      <c r="D20" s="28" t="inlineStr">
        <is>
          <t>Low</t>
        </is>
      </c>
      <c r="E20" s="17" t="inlineStr">
        <is>
          <t>Functional</t>
        </is>
      </c>
      <c r="F20" s="17" t="inlineStr">
        <is>
          <t>Complaints page.</t>
        </is>
      </c>
      <c r="G20" s="17" t="inlineStr">
        <is>
          <t>Click Refresh (RefreshIcon)</t>
        </is>
      </c>
      <c r="H20" s="17" t="inlineStr">
        <is>
          <t>Page reload.</t>
        </is>
      </c>
      <c r="I20" s="17" t="inlineStr">
        <is>
          <t>Async refresh. Spinner during load.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CMP-018</t>
        </is>
      </c>
      <c r="B21" s="7" t="inlineStr">
        <is>
          <t>Empty</t>
        </is>
      </c>
      <c r="C21" s="7" t="inlineStr">
        <is>
          <t>Empty state when no complaints exist</t>
        </is>
      </c>
      <c r="D21" s="28" t="inlineStr">
        <is>
          <t>Low</t>
        </is>
      </c>
      <c r="E21" s="7" t="inlineStr">
        <is>
          <t>Edge</t>
        </is>
      </c>
      <c r="F21" s="7" t="inlineStr">
        <is>
          <t>No complaints in system.</t>
        </is>
      </c>
      <c r="G21" s="7" t="inlineStr">
        <is>
          <t>Load /admin/complaints</t>
        </is>
      </c>
      <c r="H21" s="7" t="inlineStr">
        <is>
          <t>Blank table.</t>
        </is>
      </c>
      <c r="I21" s="7" t="inlineStr">
        <is>
          <t>Empty state illustration with message.</t>
        </is>
      </c>
      <c r="J21" s="7" t="inlineStr"/>
      <c r="K21" s="7" t="inlineStr"/>
      <c r="L21" s="7" t="inlineStr"/>
      <c r="M21" s="7" t="inlineStr"/>
      <c r="N21" s="7" t="inlineStr"/>
    </row>
    <row r="23">
      <c r="A23" s="43" t="inlineStr">
        <is>
          <t>TOTAL TEST CASES: 18</t>
        </is>
      </c>
      <c r="B23" s="22" t="n"/>
      <c r="C23" s="22" t="n"/>
      <c r="D23" s="22" t="n"/>
      <c r="E23" s="23">
        <f>COUNTIF(K4:K21,"✅ PASS")</f>
        <v/>
      </c>
      <c r="F23" s="24">
        <f>COUNTIF(K4:K21,"❌ FAIL")</f>
        <v/>
      </c>
      <c r="G23" s="22" t="inlineStr">
        <is>
          <t>V1 Pass%</t>
        </is>
      </c>
      <c r="H23" s="25">
        <f>IFERROR(E23/(18)*100,0)&amp;"%"</f>
        <v/>
      </c>
      <c r="I23" s="23">
        <f>COUNTIF(M4:M21,"✅ PASS")</f>
        <v/>
      </c>
      <c r="J23" s="24">
        <f>COUNTIF(M4:M21,"❌ FAIL")</f>
        <v/>
      </c>
      <c r="K23" s="22" t="inlineStr">
        <is>
          <t>V2 Pass%</t>
        </is>
      </c>
      <c r="L23" s="25">
        <f>IFERROR(I23/(18)*100,0)&amp;"%"</f>
        <v/>
      </c>
      <c r="M23" s="22" t="n"/>
      <c r="N23" s="22" t="n"/>
    </row>
  </sheetData>
  <mergeCells count="3">
    <mergeCell ref="A23:D23"/>
    <mergeCell ref="A2:N2"/>
    <mergeCell ref="A1:N1"/>
  </mergeCells>
  <dataValidations count="2">
    <dataValidation sqref="K4:K21" showDropDown="0" showInputMessage="0" showErrorMessage="0" allowBlank="0" type="list">
      <formula1>"✅ PASS,❌ FAIL,🔶 BLOCKED,⬜ NOT RUN,➡️ N/A"</formula1>
    </dataValidation>
    <dataValidation sqref="M4:M21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44" t="inlineStr">
        <is>
          <t>🧪  Financial Management Module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45" t="inlineStr">
        <is>
          <t>Test ID</t>
        </is>
      </c>
      <c r="B3" s="45" t="inlineStr">
        <is>
          <t>Category</t>
        </is>
      </c>
      <c r="C3" s="45" t="inlineStr">
        <is>
          <t>Test Case Name</t>
        </is>
      </c>
      <c r="D3" s="45" t="inlineStr">
        <is>
          <t>Priority</t>
        </is>
      </c>
      <c r="E3" s="45" t="inlineStr">
        <is>
          <t>Type</t>
        </is>
      </c>
      <c r="F3" s="45" t="inlineStr">
        <is>
          <t>Pre-conditions</t>
        </is>
      </c>
      <c r="G3" s="45" t="inlineStr">
        <is>
          <t>Test Steps</t>
        </is>
      </c>
      <c r="H3" s="45" t="inlineStr">
        <is>
          <t>Expected Result (V1)</t>
        </is>
      </c>
      <c r="I3" s="45" t="inlineStr">
        <is>
          <t>Expected Result (V2)</t>
        </is>
      </c>
      <c r="J3" s="45" t="inlineStr">
        <is>
          <t>Actual Result (V1)</t>
        </is>
      </c>
      <c r="K3" s="45" t="inlineStr">
        <is>
          <t>Status V1</t>
        </is>
      </c>
      <c r="L3" s="45" t="inlineStr">
        <is>
          <t>Actual Result (V2)</t>
        </is>
      </c>
      <c r="M3" s="45" t="inlineStr">
        <is>
          <t>Status V2</t>
        </is>
      </c>
      <c r="N3" s="45" t="inlineStr">
        <is>
          <t>Notes / Defect ID</t>
        </is>
      </c>
    </row>
    <row r="4" ht="55" customHeight="1">
      <c r="A4" s="17" t="inlineStr">
        <is>
          <t>FIN-001</t>
        </is>
      </c>
      <c r="B4" s="17" t="inlineStr">
        <is>
          <t>Fee Setup</t>
        </is>
      </c>
      <c r="C4" s="17" t="inlineStr">
        <is>
          <t>SuperAdmin sets tuition fee amount</t>
        </is>
      </c>
      <c r="D4" s="18" t="inlineStr">
        <is>
          <t>Critical</t>
        </is>
      </c>
      <c r="E4" s="17" t="inlineStr">
        <is>
          <t>Functional</t>
        </is>
      </c>
      <c r="F4" s="17" t="inlineStr">
        <is>
          <t>SuperAdmin logged in.</t>
        </is>
      </c>
      <c r="G4" s="17" t="inlineStr">
        <is>
          <t>Navigate to finances → Fee Settings
Enter tuition amount
Save</t>
        </is>
      </c>
      <c r="H4" s="17" t="inlineStr">
        <is>
          <t>Fee saved in DB. Applies to new students.</t>
        </is>
      </c>
      <c r="I4" s="17" t="inlineStr">
        <is>
          <t>Same + audit log. Toast notification.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FIN-002</t>
        </is>
      </c>
      <c r="B5" s="7" t="inlineStr">
        <is>
          <t>Fee Setup</t>
        </is>
      </c>
      <c r="C5" s="7" t="inlineStr">
        <is>
          <t>SuperAdmin sets bus fee per route</t>
        </is>
      </c>
      <c r="D5" s="19" t="inlineStr">
        <is>
          <t>High</t>
        </is>
      </c>
      <c r="E5" s="7" t="inlineStr">
        <is>
          <t>Functional</t>
        </is>
      </c>
      <c r="F5" s="7" t="inlineStr">
        <is>
          <t>Bus routes configured.</t>
        </is>
      </c>
      <c r="G5" s="7" t="inlineStr">
        <is>
          <t>Set bus fee per route
Save</t>
        </is>
      </c>
      <c r="H5" s="7" t="inlineStr">
        <is>
          <t>Bus fee saved.</t>
        </is>
      </c>
      <c r="I5" s="7" t="inlineStr">
        <is>
          <t>Same + per-route granularity.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FIN-003</t>
        </is>
      </c>
      <c r="B6" s="17" t="inlineStr">
        <is>
          <t>Student Payment</t>
        </is>
      </c>
      <c r="C6" s="17" t="inlineStr">
        <is>
          <t>Record student tuition payment</t>
        </is>
      </c>
      <c r="D6" s="18" t="inlineStr">
        <is>
          <t>Critical</t>
        </is>
      </c>
      <c r="E6" s="17" t="inlineStr">
        <is>
          <t>Functional</t>
        </is>
      </c>
      <c r="F6" s="17" t="inlineStr">
        <is>
          <t>Student exists. Tuition fee set.</t>
        </is>
      </c>
      <c r="G6" s="17" t="inlineStr">
        <is>
          <t>Open student financial record
Add payment: amount, date, method
Save</t>
        </is>
      </c>
      <c r="H6" s="17" t="inlineStr">
        <is>
          <t>Payment recorded. Balance updated.</t>
        </is>
      </c>
      <c r="I6" s="17" t="inlineStr">
        <is>
          <t>Same + receipt generated. Balance auto-calculated.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FIN-004</t>
        </is>
      </c>
      <c r="B7" s="7" t="inlineStr">
        <is>
          <t>Student Payment</t>
        </is>
      </c>
      <c r="C7" s="7" t="inlineStr">
        <is>
          <t>Partial payment updates outstanding balance</t>
        </is>
      </c>
      <c r="D7" s="19" t="inlineStr">
        <is>
          <t>High</t>
        </is>
      </c>
      <c r="E7" s="7" t="inlineStr">
        <is>
          <t>Functional</t>
        </is>
      </c>
      <c r="F7" s="7" t="inlineStr">
        <is>
          <t>Fee = 5000. Student pays 2000.</t>
        </is>
      </c>
      <c r="G7" s="7" t="inlineStr">
        <is>
          <t>Record partial payment
View balance</t>
        </is>
      </c>
      <c r="H7" s="7" t="inlineStr">
        <is>
          <t>Outstanding = 3000.</t>
        </is>
      </c>
      <c r="I7" s="7" t="inlineStr">
        <is>
          <t>Same. Balance formula: =TotalFee - SUM(Payments).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FIN-005</t>
        </is>
      </c>
      <c r="B8" s="17" t="inlineStr">
        <is>
          <t>Overpayment</t>
        </is>
      </c>
      <c r="C8" s="17" t="inlineStr">
        <is>
          <t>Overpayment handled correctly</t>
        </is>
      </c>
      <c r="D8" s="19" t="inlineStr">
        <is>
          <t>High</t>
        </is>
      </c>
      <c r="E8" s="17" t="inlineStr">
        <is>
          <t>Negative</t>
        </is>
      </c>
      <c r="F8" s="17" t="inlineStr">
        <is>
          <t>Student pays more than fee.</t>
        </is>
      </c>
      <c r="G8" s="17" t="inlineStr">
        <is>
          <t>Enter payment &gt; total fee
View balance</t>
        </is>
      </c>
      <c r="H8" s="17" t="inlineStr">
        <is>
          <t>V1 BUG: Balance goes negative with no error.</t>
        </is>
      </c>
      <c r="I8" s="17" t="inlineStr">
        <is>
          <t>V2 FIX: Warning shown. Credit balance or rejection.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FIN-006</t>
        </is>
      </c>
      <c r="B9" s="7" t="inlineStr">
        <is>
          <t>Override</t>
        </is>
      </c>
      <c r="C9" s="7" t="inlineStr">
        <is>
          <t>SuperAdmin overrides fee for specific student</t>
        </is>
      </c>
      <c r="D9" s="19" t="inlineStr">
        <is>
          <t>High</t>
        </is>
      </c>
      <c r="E9" s="7" t="inlineStr">
        <is>
          <t>Functional</t>
        </is>
      </c>
      <c r="F9" s="7" t="inlineStr">
        <is>
          <t>SuperAdmin logged in. Student has standard fee.</t>
        </is>
      </c>
      <c r="G9" s="7" t="inlineStr">
        <is>
          <t>Open student financials
Click Override Fee
Enter discounted amount
Save</t>
        </is>
      </c>
      <c r="H9" s="7" t="inlineStr">
        <is>
          <t>V1: No override feature.</t>
        </is>
      </c>
      <c r="I9" s="7" t="inlineStr">
        <is>
          <t>V2: Override applied. Original fee and override shown. Audit logged.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FIN-007</t>
        </is>
      </c>
      <c r="B10" s="17" t="inlineStr">
        <is>
          <t>Bus Fee</t>
        </is>
      </c>
      <c r="C10" s="17" t="inlineStr">
        <is>
          <t>Bus fee added to student who uses bus</t>
        </is>
      </c>
      <c r="D10" s="19" t="inlineStr">
        <is>
          <t>High</t>
        </is>
      </c>
      <c r="E10" s="17" t="inlineStr">
        <is>
          <t>Functional</t>
        </is>
      </c>
      <c r="F10" s="17" t="inlineStr">
        <is>
          <t>Bus fee set. Student assigned to route.</t>
        </is>
      </c>
      <c r="G10" s="17" t="inlineStr">
        <is>
          <t>Assign student to bus route
View financial record</t>
        </is>
      </c>
      <c r="H10" s="17" t="inlineStr">
        <is>
          <t>Bus fee added to total.</t>
        </is>
      </c>
      <c r="I10" s="17" t="inlineStr">
        <is>
          <t>Same + route name shown. Monthly/annual option.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FIN-008</t>
        </is>
      </c>
      <c r="B11" s="7" t="inlineStr">
        <is>
          <t>Outstanding</t>
        </is>
      </c>
      <c r="C11" s="7" t="inlineStr">
        <is>
          <t>List of students with outstanding fees</t>
        </is>
      </c>
      <c r="D11" s="19" t="inlineStr">
        <is>
          <t>High</t>
        </is>
      </c>
      <c r="E11" s="7" t="inlineStr">
        <is>
          <t>Functional</t>
        </is>
      </c>
      <c r="F11" s="7" t="inlineStr">
        <is>
          <t>Multiple students with unpaid balances.</t>
        </is>
      </c>
      <c r="G11" s="7" t="inlineStr">
        <is>
          <t>View finances overview
Check outstanding list</t>
        </is>
      </c>
      <c r="H11" s="7" t="inlineStr">
        <is>
          <t>Basic list.</t>
        </is>
      </c>
      <c r="I11" s="7" t="inlineStr">
        <is>
          <t>Sorted by amount. Color-coded. Filter by dept/class.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FIN-009</t>
        </is>
      </c>
      <c r="B12" s="17" t="inlineStr">
        <is>
          <t>Dashboard</t>
        </is>
      </c>
      <c r="C12" s="17" t="inlineStr">
        <is>
          <t>Financial health KPI on SuperAdmin dashboard</t>
        </is>
      </c>
      <c r="D12" s="19" t="inlineStr">
        <is>
          <t>High</t>
        </is>
      </c>
      <c r="E12" s="17" t="inlineStr">
        <is>
          <t>Functional</t>
        </is>
      </c>
      <c r="F12" s="17" t="inlineStr">
        <is>
          <t>SuperAdmin logged in.</t>
        </is>
      </c>
      <c r="G12" s="17" t="inlineStr">
        <is>
          <t>View admin dashboard</t>
        </is>
      </c>
      <c r="H12" s="17" t="inlineStr">
        <is>
          <t>Total outstanding fees number shown.</t>
        </is>
      </c>
      <c r="I12" s="17" t="inlineStr">
        <is>
          <t>Same + bar chart of collection per month. % collected.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FIN-010</t>
        </is>
      </c>
      <c r="B13" s="7" t="inlineStr">
        <is>
          <t>Tabs</t>
        </is>
      </c>
      <c r="C13" s="7" t="inlineStr">
        <is>
          <t>Finance page tabs work (Tuition/Bus/Summary)</t>
        </is>
      </c>
      <c r="D13" s="19" t="inlineStr">
        <is>
          <t>High</t>
        </is>
      </c>
      <c r="E13" s="7" t="inlineStr">
        <is>
          <t>Functional</t>
        </is>
      </c>
      <c r="F13" s="7" t="inlineStr">
        <is>
          <t>Finance page loaded.</t>
        </is>
      </c>
      <c r="G13" s="7" t="inlineStr">
        <is>
          <t>Click each MUI Tab</t>
        </is>
      </c>
      <c r="H13" s="7" t="inlineStr">
        <is>
          <t>V1: Single view.</t>
        </is>
      </c>
      <c r="I13" s="7" t="inlineStr">
        <is>
          <t>V2: Tabs: Tuition, Bus Fees, Financial Summary. Each loads correct data.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FIN-011</t>
        </is>
      </c>
      <c r="B14" s="17" t="inlineStr">
        <is>
          <t>Search</t>
        </is>
      </c>
      <c r="C14" s="17" t="inlineStr">
        <is>
          <t>Search student in finance by name</t>
        </is>
      </c>
      <c r="D14" s="19" t="inlineStr">
        <is>
          <t>High</t>
        </is>
      </c>
      <c r="E14" s="17" t="inlineStr">
        <is>
          <t>Functional</t>
        </is>
      </c>
      <c r="F14" s="17" t="inlineStr">
        <is>
          <t>Multiple students.</t>
        </is>
      </c>
      <c r="G14" s="17" t="inlineStr">
        <is>
          <t>Type student name in Autocomplete search
Select</t>
        </is>
      </c>
      <c r="H14" s="17" t="inlineStr">
        <is>
          <t>No search.</t>
        </is>
      </c>
      <c r="I14" s="17" t="inlineStr">
        <is>
          <t>MUI Autocomplete finds student and loads their financials.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FIN-012</t>
        </is>
      </c>
      <c r="B15" s="7" t="inlineStr">
        <is>
          <t>Payment History</t>
        </is>
      </c>
      <c r="C15" s="7" t="inlineStr">
        <is>
          <t>View full payment history for student</t>
        </is>
      </c>
      <c r="D15" s="19" t="inlineStr">
        <is>
          <t>High</t>
        </is>
      </c>
      <c r="E15" s="7" t="inlineStr">
        <is>
          <t>Functional</t>
        </is>
      </c>
      <c r="F15" s="7" t="inlineStr">
        <is>
          <t>Student with multiple payments.</t>
        </is>
      </c>
      <c r="G15" s="7" t="inlineStr">
        <is>
          <t>Open student → Payment History tab</t>
        </is>
      </c>
      <c r="H15" s="7" t="inlineStr">
        <is>
          <t>List of payments with date and amount.</t>
        </is>
      </c>
      <c r="I15" s="7" t="inlineStr">
        <is>
          <t>Same + running balance column. Export button.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FIN-013</t>
        </is>
      </c>
      <c r="B16" s="17" t="inlineStr">
        <is>
          <t>Security</t>
        </is>
      </c>
      <c r="C16" s="17" t="inlineStr">
        <is>
          <t>Student can view own finances but not edit</t>
        </is>
      </c>
      <c r="D16" s="18" t="inlineStr">
        <is>
          <t>Critical</t>
        </is>
      </c>
      <c r="E16" s="17" t="inlineStr">
        <is>
          <t>Security</t>
        </is>
      </c>
      <c r="F16" s="17" t="inlineStr">
        <is>
          <t>Student logged in.</t>
        </is>
      </c>
      <c r="G16" s="17" t="inlineStr">
        <is>
          <t>View own financial record
Attempt PUT /api/finances/{id}</t>
        </is>
      </c>
      <c r="H16" s="17" t="inlineStr">
        <is>
          <t>403 on PUT.</t>
        </is>
      </c>
      <c r="I16" s="17" t="inlineStr">
        <is>
          <t>Same. Read-only for students.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FIN-014</t>
        </is>
      </c>
      <c r="B17" s="7" t="inlineStr">
        <is>
          <t>Security</t>
        </is>
      </c>
      <c r="C17" s="7" t="inlineStr">
        <is>
          <t>Staff cannot override fees (SuperAdmin only)</t>
        </is>
      </c>
      <c r="D17" s="18" t="inlineStr">
        <is>
          <t>Critical</t>
        </is>
      </c>
      <c r="E17" s="7" t="inlineStr">
        <is>
          <t>Security</t>
        </is>
      </c>
      <c r="F17" s="7" t="inlineStr">
        <is>
          <t>Staff logged in.</t>
        </is>
      </c>
      <c r="G17" s="7" t="inlineStr">
        <is>
          <t>Attempt POST /api/finances/override with staff JWT</t>
        </is>
      </c>
      <c r="H17" s="7" t="inlineStr">
        <is>
          <t>V1 BUG: Override may not be role-restricted.</t>
        </is>
      </c>
      <c r="I17" s="7" t="inlineStr">
        <is>
          <t>V2 FIX: 403. SuperAdmin only.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FIN-015</t>
        </is>
      </c>
      <c r="B18" s="17" t="inlineStr">
        <is>
          <t>Notification</t>
        </is>
      </c>
      <c r="C18" s="17" t="inlineStr">
        <is>
          <t>Student notified on payment recording</t>
        </is>
      </c>
      <c r="D18" s="20" t="inlineStr">
        <is>
          <t>Medium</t>
        </is>
      </c>
      <c r="E18" s="17" t="inlineStr">
        <is>
          <t>Functional</t>
        </is>
      </c>
      <c r="F18" s="17" t="inlineStr">
        <is>
          <t>Payment recorded for student.</t>
        </is>
      </c>
      <c r="G18" s="17" t="inlineStr">
        <is>
          <t>Admin records payment
Check student notifications</t>
        </is>
      </c>
      <c r="H18" s="17" t="inlineStr">
        <is>
          <t>No notification.</t>
        </is>
      </c>
      <c r="I18" s="17" t="inlineStr">
        <is>
          <t>V2: In-app notification: Payment of EGP X recorded.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FIN-016</t>
        </is>
      </c>
      <c r="B19" s="7" t="inlineStr">
        <is>
          <t>Receipt</t>
        </is>
      </c>
      <c r="C19" s="7" t="inlineStr">
        <is>
          <t>Payment receipt includes correct details</t>
        </is>
      </c>
      <c r="D19" s="20" t="inlineStr">
        <is>
          <t>Medium</t>
        </is>
      </c>
      <c r="E19" s="7" t="inlineStr">
        <is>
          <t>Functional</t>
        </is>
      </c>
      <c r="F19" s="7" t="inlineStr">
        <is>
          <t>Payment recorded.</t>
        </is>
      </c>
      <c r="G19" s="7" t="inlineStr">
        <is>
          <t>View/download receipt</t>
        </is>
      </c>
      <c r="H19" s="7" t="inlineStr">
        <is>
          <t>V1: No receipt generation.</t>
        </is>
      </c>
      <c r="I19" s="7" t="inlineStr">
        <is>
          <t>V2: Receipt with Student Name, ID, Amount, Date, Payment Method, Reference #.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FIN-017</t>
        </is>
      </c>
      <c r="B20" s="17" t="inlineStr">
        <is>
          <t>Audit</t>
        </is>
      </c>
      <c r="C20" s="17" t="inlineStr">
        <is>
          <t>All financial transactions in audit log</t>
        </is>
      </c>
      <c r="D20" s="19" t="inlineStr">
        <is>
          <t>High</t>
        </is>
      </c>
      <c r="E20" s="17" t="inlineStr">
        <is>
          <t>Functional</t>
        </is>
      </c>
      <c r="F20" s="17" t="inlineStr">
        <is>
          <t>SuperAdmin access.</t>
        </is>
      </c>
      <c r="G20" s="17" t="inlineStr">
        <is>
          <t>Record payment
Check AuditLog</t>
        </is>
      </c>
      <c r="H20" s="17" t="inlineStr">
        <is>
          <t>Not logged.</t>
        </is>
      </c>
      <c r="I20" s="17" t="inlineStr">
        <is>
          <t>RECORD_PAYMENT event with actor, studentId, amount.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FIN-018</t>
        </is>
      </c>
      <c r="B21" s="7" t="inlineStr">
        <is>
          <t>Validation</t>
        </is>
      </c>
      <c r="C21" s="7" t="inlineStr">
        <is>
          <t>Payment amount cannot be zero or negative</t>
        </is>
      </c>
      <c r="D21" s="19" t="inlineStr">
        <is>
          <t>High</t>
        </is>
      </c>
      <c r="E21" s="7" t="inlineStr">
        <is>
          <t>Negative</t>
        </is>
      </c>
      <c r="F21" s="7" t="inlineStr">
        <is>
          <t>Payment form open.</t>
        </is>
      </c>
      <c r="G21" s="7" t="inlineStr">
        <is>
          <t>Enter amount = 0 or -500
Save</t>
        </is>
      </c>
      <c r="H21" s="7" t="inlineStr">
        <is>
          <t>V1: May accept invalid amounts.</t>
        </is>
      </c>
      <c r="I21" s="7" t="inlineStr">
        <is>
          <t>V2: Validation error: Amount must be positive.</t>
        </is>
      </c>
      <c r="J21" s="7" t="inlineStr"/>
      <c r="K21" s="7" t="inlineStr"/>
      <c r="L21" s="7" t="inlineStr"/>
      <c r="M21" s="7" t="inlineStr"/>
      <c r="N21" s="7" t="inlineStr"/>
    </row>
    <row r="22" ht="55" customHeight="1">
      <c r="A22" s="17" t="inlineStr">
        <is>
          <t>FIN-019</t>
        </is>
      </c>
      <c r="B22" s="17" t="inlineStr">
        <is>
          <t>Snackbar</t>
        </is>
      </c>
      <c r="C22" s="17" t="inlineStr">
        <is>
          <t>Success snackbar shown after payment saved</t>
        </is>
      </c>
      <c r="D22" s="28" t="inlineStr">
        <is>
          <t>Low</t>
        </is>
      </c>
      <c r="E22" s="17" t="inlineStr">
        <is>
          <t>UI</t>
        </is>
      </c>
      <c r="F22" s="17" t="inlineStr">
        <is>
          <t>Payment form.</t>
        </is>
      </c>
      <c r="G22" s="17" t="inlineStr">
        <is>
          <t>Save valid payment</t>
        </is>
      </c>
      <c r="H22" s="17" t="inlineStr">
        <is>
          <t>V1: Page refresh only.</t>
        </is>
      </c>
      <c r="I22" s="17" t="inlineStr">
        <is>
          <t>V2: MUI Snackbar "Payment saved successfully" shown.</t>
        </is>
      </c>
      <c r="J22" s="17" t="inlineStr"/>
      <c r="K22" s="17" t="inlineStr"/>
      <c r="L22" s="17" t="inlineStr"/>
      <c r="M22" s="17" t="inlineStr"/>
      <c r="N22" s="17" t="inlineStr"/>
    </row>
    <row r="23" ht="55" customHeight="1">
      <c r="A23" s="7" t="inlineStr">
        <is>
          <t>FIN-020</t>
        </is>
      </c>
      <c r="B23" s="7" t="inlineStr">
        <is>
          <t>Reports</t>
        </is>
      </c>
      <c r="C23" s="7" t="inlineStr">
        <is>
          <t>Monthly financial report generation</t>
        </is>
      </c>
      <c r="D23" s="19" t="inlineStr">
        <is>
          <t>High</t>
        </is>
      </c>
      <c r="E23" s="7" t="inlineStr">
        <is>
          <t>Functional</t>
        </is>
      </c>
      <c r="F23" s="7" t="inlineStr">
        <is>
          <t>Payments across multiple months.</t>
        </is>
      </c>
      <c r="G23" s="7" t="inlineStr">
        <is>
          <t>Navigate to reports
Select month
Generate</t>
        </is>
      </c>
      <c r="H23" s="7" t="inlineStr">
        <is>
          <t>V1: No report generator.</t>
        </is>
      </c>
      <c r="I23" s="7" t="inlineStr">
        <is>
          <t>V2: Monthly collected vs outstanding. Export to PDF/CSV.</t>
        </is>
      </c>
      <c r="J23" s="7" t="inlineStr"/>
      <c r="K23" s="7" t="inlineStr"/>
      <c r="L23" s="7" t="inlineStr"/>
      <c r="M23" s="7" t="inlineStr"/>
      <c r="N23" s="7" t="inlineStr"/>
    </row>
    <row r="24" ht="55" customHeight="1">
      <c r="A24" s="17" t="inlineStr">
        <is>
          <t>FIN-021</t>
        </is>
      </c>
      <c r="B24" s="17" t="inlineStr">
        <is>
          <t>Bulk</t>
        </is>
      </c>
      <c r="C24" s="17" t="inlineStr">
        <is>
          <t>Bulk fee application for new academic year</t>
        </is>
      </c>
      <c r="D24" s="19" t="inlineStr">
        <is>
          <t>High</t>
        </is>
      </c>
      <c r="E24" s="17" t="inlineStr">
        <is>
          <t>Functional</t>
        </is>
      </c>
      <c r="F24" s="17" t="inlineStr">
        <is>
          <t>New year fee structure set.</t>
        </is>
      </c>
      <c r="G24" s="17" t="inlineStr">
        <is>
          <t>Click Apply Fees to All Students
Confirm</t>
        </is>
      </c>
      <c r="H24" s="17" t="inlineStr">
        <is>
          <t>V1: Manual entry per student.</t>
        </is>
      </c>
      <c r="I24" s="17" t="inlineStr">
        <is>
          <t>V2: Bulk application creates fee records for all active students.</t>
        </is>
      </c>
      <c r="J24" s="17" t="inlineStr"/>
      <c r="K24" s="17" t="inlineStr"/>
      <c r="L24" s="17" t="inlineStr"/>
      <c r="M24" s="17" t="inlineStr"/>
      <c r="N24" s="17" t="inlineStr"/>
    </row>
    <row r="25" ht="55" customHeight="1">
      <c r="A25" s="7" t="inlineStr">
        <is>
          <t>FIN-022</t>
        </is>
      </c>
      <c r="B25" s="7" t="inlineStr">
        <is>
          <t>Currency</t>
        </is>
      </c>
      <c r="C25" s="7" t="inlineStr">
        <is>
          <t>Currency displays in EGP format</t>
        </is>
      </c>
      <c r="D25" s="20" t="inlineStr">
        <is>
          <t>Medium</t>
        </is>
      </c>
      <c r="E25" s="7" t="inlineStr">
        <is>
          <t>UI</t>
        </is>
      </c>
      <c r="F25" s="7" t="inlineStr">
        <is>
          <t>Amounts in system.</t>
        </is>
      </c>
      <c r="G25" s="7" t="inlineStr">
        <is>
          <t>View any financial amount</t>
        </is>
      </c>
      <c r="H25" s="7" t="inlineStr">
        <is>
          <t>Number displayed without currency.</t>
        </is>
      </c>
      <c r="I25" s="7" t="inlineStr">
        <is>
          <t>EGP X,XXX format used consistently.</t>
        </is>
      </c>
      <c r="J25" s="7" t="inlineStr"/>
      <c r="K25" s="7" t="inlineStr"/>
      <c r="L25" s="7" t="inlineStr"/>
      <c r="M25" s="7" t="inlineStr"/>
      <c r="N25" s="7" t="inlineStr"/>
    </row>
    <row r="26" ht="55" customHeight="1">
      <c r="A26" s="17" t="inlineStr">
        <is>
          <t>FIN-023</t>
        </is>
      </c>
      <c r="B26" s="17" t="inlineStr">
        <is>
          <t>Edge</t>
        </is>
      </c>
      <c r="C26" s="17" t="inlineStr">
        <is>
          <t>Zero-fee student (scholarship) handled correctly</t>
        </is>
      </c>
      <c r="D26" s="20" t="inlineStr">
        <is>
          <t>Medium</t>
        </is>
      </c>
      <c r="E26" s="17" t="inlineStr">
        <is>
          <t>Edge</t>
        </is>
      </c>
      <c r="F26" s="17" t="inlineStr">
        <is>
          <t>Student with fee override = 0.</t>
        </is>
      </c>
      <c r="G26" s="17" t="inlineStr">
        <is>
          <t>View scholarship student financials</t>
        </is>
      </c>
      <c r="H26" s="17" t="inlineStr">
        <is>
          <t>May show negative balance.</t>
        </is>
      </c>
      <c r="I26" s="17" t="inlineStr">
        <is>
          <t>Shows "Scholarship" badge. Balance = 0. No payment required.</t>
        </is>
      </c>
      <c r="J26" s="17" t="inlineStr"/>
      <c r="K26" s="17" t="inlineStr"/>
      <c r="L26" s="17" t="inlineStr"/>
      <c r="M26" s="17" t="inlineStr"/>
      <c r="N26" s="17" t="inlineStr"/>
    </row>
    <row r="27" ht="55" customHeight="1">
      <c r="A27" s="7" t="inlineStr">
        <is>
          <t>FIN-024</t>
        </is>
      </c>
      <c r="B27" s="7" t="inlineStr">
        <is>
          <t>Concurrency</t>
        </is>
      </c>
      <c r="C27" s="7" t="inlineStr">
        <is>
          <t>Concurrent payment submissions for same student</t>
        </is>
      </c>
      <c r="D27" s="19" t="inlineStr">
        <is>
          <t>High</t>
        </is>
      </c>
      <c r="E27" s="7" t="inlineStr">
        <is>
          <t>Concurrency</t>
        </is>
      </c>
      <c r="F27" s="7" t="inlineStr">
        <is>
          <t>Two admin sessions open for same student.</t>
        </is>
      </c>
      <c r="G27" s="7" t="inlineStr">
        <is>
          <t>Both admins submit payment simultaneously</t>
        </is>
      </c>
      <c r="H27" s="7" t="inlineStr">
        <is>
          <t>V1 BUG: Both payments may record. Double-payment.</t>
        </is>
      </c>
      <c r="I27" s="7" t="inlineStr">
        <is>
          <t>V2 FIX: Optimistic lock. Second submission returns conflict error.</t>
        </is>
      </c>
      <c r="J27" s="7" t="inlineStr"/>
      <c r="K27" s="7" t="inlineStr"/>
      <c r="L27" s="7" t="inlineStr"/>
      <c r="M27" s="7" t="inlineStr"/>
      <c r="N27" s="7" t="inlineStr"/>
    </row>
    <row r="28" ht="55" customHeight="1">
      <c r="A28" s="17" t="inlineStr">
        <is>
          <t>FIN-025</t>
        </is>
      </c>
      <c r="B28" s="17" t="inlineStr">
        <is>
          <t>Dialog</t>
        </is>
      </c>
      <c r="C28" s="17" t="inlineStr">
        <is>
          <t>Confirm dialog before fee override</t>
        </is>
      </c>
      <c r="D28" s="20" t="inlineStr">
        <is>
          <t>Medium</t>
        </is>
      </c>
      <c r="E28" s="17" t="inlineStr">
        <is>
          <t>UI</t>
        </is>
      </c>
      <c r="F28" s="17" t="inlineStr">
        <is>
          <t>Override button clicked.</t>
        </is>
      </c>
      <c r="G28" s="17" t="inlineStr">
        <is>
          <t>Click Override Fee</t>
        </is>
      </c>
      <c r="H28" s="17" t="inlineStr">
        <is>
          <t>V1: Immediate action.</t>
        </is>
      </c>
      <c r="I28" s="17" t="inlineStr">
        <is>
          <t>V2: MUI Dialog: Are you sure you want to override this fee? Confirm/Cancel.</t>
        </is>
      </c>
      <c r="J28" s="17" t="inlineStr"/>
      <c r="K28" s="17" t="inlineStr"/>
      <c r="L28" s="17" t="inlineStr"/>
      <c r="M28" s="17" t="inlineStr"/>
      <c r="N28" s="17" t="inlineStr"/>
    </row>
    <row r="29" ht="55" customHeight="1">
      <c r="A29" s="7" t="inlineStr">
        <is>
          <t>FIN-026</t>
        </is>
      </c>
      <c r="B29" s="7" t="inlineStr">
        <is>
          <t>Export</t>
        </is>
      </c>
      <c r="C29" s="7" t="inlineStr">
        <is>
          <t>Export outstanding fees list to CSV</t>
        </is>
      </c>
      <c r="D29" s="20" t="inlineStr">
        <is>
          <t>Medium</t>
        </is>
      </c>
      <c r="E29" s="7" t="inlineStr">
        <is>
          <t>Functional</t>
        </is>
      </c>
      <c r="F29" s="7" t="inlineStr">
        <is>
          <t>Outstanding fees exist.</t>
        </is>
      </c>
      <c r="G29" s="7" t="inlineStr">
        <is>
          <t>Click Export Outstanding</t>
        </is>
      </c>
      <c r="H29" s="7" t="inlineStr">
        <is>
          <t>No export.</t>
        </is>
      </c>
      <c r="I29" s="7" t="inlineStr">
        <is>
          <t>CSV: Student, Class, Fee, Paid, Outstanding columns.</t>
        </is>
      </c>
      <c r="J29" s="7" t="inlineStr"/>
      <c r="K29" s="7" t="inlineStr"/>
      <c r="L29" s="7" t="inlineStr"/>
      <c r="M29" s="7" t="inlineStr"/>
      <c r="N29" s="7" t="inlineStr"/>
    </row>
    <row r="31">
      <c r="A31" s="46" t="inlineStr">
        <is>
          <t>TOTAL TEST CASES: 26</t>
        </is>
      </c>
      <c r="B31" s="22" t="n"/>
      <c r="C31" s="22" t="n"/>
      <c r="D31" s="22" t="n"/>
      <c r="E31" s="23">
        <f>COUNTIF(K4:K29,"✅ PASS")</f>
        <v/>
      </c>
      <c r="F31" s="24">
        <f>COUNTIF(K4:K29,"❌ FAIL")</f>
        <v/>
      </c>
      <c r="G31" s="22" t="inlineStr">
        <is>
          <t>V1 Pass%</t>
        </is>
      </c>
      <c r="H31" s="25">
        <f>IFERROR(E31/(26)*100,0)&amp;"%"</f>
        <v/>
      </c>
      <c r="I31" s="23">
        <f>COUNTIF(M4:M29,"✅ PASS")</f>
        <v/>
      </c>
      <c r="J31" s="24">
        <f>COUNTIF(M4:M29,"❌ FAIL")</f>
        <v/>
      </c>
      <c r="K31" s="22" t="inlineStr">
        <is>
          <t>V2 Pass%</t>
        </is>
      </c>
      <c r="L31" s="25">
        <f>IFERROR(I31/(26)*100,0)&amp;"%"</f>
        <v/>
      </c>
      <c r="M31" s="22" t="n"/>
      <c r="N31" s="22" t="n"/>
    </row>
  </sheetData>
  <mergeCells count="3">
    <mergeCell ref="A31:D31"/>
    <mergeCell ref="A2:N2"/>
    <mergeCell ref="A1:N1"/>
  </mergeCells>
  <dataValidations count="2">
    <dataValidation sqref="K4:K29" showDropDown="0" showInputMessage="0" showErrorMessage="0" allowBlank="0" type="list">
      <formula1>"✅ PASS,❌ FAIL,🔶 BLOCKED,⬜ NOT RUN,➡️ N/A"</formula1>
    </dataValidation>
    <dataValidation sqref="M4:M29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33" t="inlineStr">
        <is>
          <t>🧪  Events &amp; School Activities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34" t="inlineStr">
        <is>
          <t>Test ID</t>
        </is>
      </c>
      <c r="B3" s="34" t="inlineStr">
        <is>
          <t>Category</t>
        </is>
      </c>
      <c r="C3" s="34" t="inlineStr">
        <is>
          <t>Test Case Name</t>
        </is>
      </c>
      <c r="D3" s="34" t="inlineStr">
        <is>
          <t>Priority</t>
        </is>
      </c>
      <c r="E3" s="34" t="inlineStr">
        <is>
          <t>Type</t>
        </is>
      </c>
      <c r="F3" s="34" t="inlineStr">
        <is>
          <t>Pre-conditions</t>
        </is>
      </c>
      <c r="G3" s="34" t="inlineStr">
        <is>
          <t>Test Steps</t>
        </is>
      </c>
      <c r="H3" s="34" t="inlineStr">
        <is>
          <t>Expected Result (V1)</t>
        </is>
      </c>
      <c r="I3" s="34" t="inlineStr">
        <is>
          <t>Expected Result (V2)</t>
        </is>
      </c>
      <c r="J3" s="34" t="inlineStr">
        <is>
          <t>Actual Result (V1)</t>
        </is>
      </c>
      <c r="K3" s="34" t="inlineStr">
        <is>
          <t>Status V1</t>
        </is>
      </c>
      <c r="L3" s="34" t="inlineStr">
        <is>
          <t>Actual Result (V2)</t>
        </is>
      </c>
      <c r="M3" s="34" t="inlineStr">
        <is>
          <t>Status V2</t>
        </is>
      </c>
      <c r="N3" s="34" t="inlineStr">
        <is>
          <t>Notes / Defect ID</t>
        </is>
      </c>
    </row>
    <row r="4" ht="55" customHeight="1">
      <c r="A4" s="17" t="inlineStr">
        <is>
          <t>EVT-001</t>
        </is>
      </c>
      <c r="B4" s="17" t="inlineStr">
        <is>
          <t>Create</t>
        </is>
      </c>
      <c r="C4" s="17" t="inlineStr">
        <is>
          <t>Admin creates school event</t>
        </is>
      </c>
      <c r="D4" s="19" t="inlineStr">
        <is>
          <t>High</t>
        </is>
      </c>
      <c r="E4" s="17" t="inlineStr">
        <is>
          <t>Functional</t>
        </is>
      </c>
      <c r="F4" s="17" t="inlineStr">
        <is>
          <t>Staff/Admin logged in.</t>
        </is>
      </c>
      <c r="G4" s="17" t="inlineStr">
        <is>
          <t>Navigate to /admin/events
Click Create Event
Fill: Title, Date, Location, Description
Submit</t>
        </is>
      </c>
      <c r="H4" s="17" t="inlineStr">
        <is>
          <t>Event created. Appears in event list.</t>
        </is>
      </c>
      <c r="I4" s="17" t="inlineStr">
        <is>
          <t>Same. SharedActivityManager component handles creation.</t>
        </is>
      </c>
      <c r="J4" s="17" t="inlineStr"/>
      <c r="K4" s="17" t="inlineStr"/>
      <c r="L4" s="17" t="inlineStr"/>
      <c r="M4" s="17" t="inlineStr"/>
      <c r="N4" s="17" t="inlineStr">
        <is>
          <t>Uses SharedActivityManager component</t>
        </is>
      </c>
    </row>
    <row r="5" ht="55" customHeight="1">
      <c r="A5" s="7" t="inlineStr">
        <is>
          <t>EVT-002</t>
        </is>
      </c>
      <c r="B5" s="7" t="inlineStr">
        <is>
          <t>Create</t>
        </is>
      </c>
      <c r="C5" s="7" t="inlineStr">
        <is>
          <t>SuperAdmin creates event (isSuperAdmin=true)</t>
        </is>
      </c>
      <c r="D5" s="19" t="inlineStr">
        <is>
          <t>High</t>
        </is>
      </c>
      <c r="E5" s="7" t="inlineStr">
        <is>
          <t>Functional</t>
        </is>
      </c>
      <c r="F5" s="7" t="inlineStr">
        <is>
          <t>SuperAdmin logged in.</t>
        </is>
      </c>
      <c r="G5" s="7" t="inlineStr">
        <is>
          <t>Create event from SuperAdmin panel</t>
        </is>
      </c>
      <c r="H5" s="7" t="inlineStr">
        <is>
          <t>Event created.</t>
        </is>
      </c>
      <c r="I5" s="7" t="inlineStr">
        <is>
          <t>Same. isSuperAdmin flag unlocks additional fields.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EVT-003</t>
        </is>
      </c>
      <c r="B6" s="17" t="inlineStr">
        <is>
          <t>Read</t>
        </is>
      </c>
      <c r="C6" s="17" t="inlineStr">
        <is>
          <t>Event list displays upcoming events</t>
        </is>
      </c>
      <c r="D6" s="19" t="inlineStr">
        <is>
          <t>High</t>
        </is>
      </c>
      <c r="E6" s="17" t="inlineStr">
        <is>
          <t>Functional</t>
        </is>
      </c>
      <c r="F6" s="17" t="inlineStr">
        <is>
          <t>Events created.</t>
        </is>
      </c>
      <c r="G6" s="17" t="inlineStr">
        <is>
          <t>View /admin/events</t>
        </is>
      </c>
      <c r="H6" s="17" t="inlineStr">
        <is>
          <t>Events listed with date and title.</t>
        </is>
      </c>
      <c r="I6" s="17" t="inlineStr">
        <is>
          <t>Same + color coded by event type. Sorted chronologically.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EVT-004</t>
        </is>
      </c>
      <c r="B7" s="7" t="inlineStr">
        <is>
          <t>Update</t>
        </is>
      </c>
      <c r="C7" s="7" t="inlineStr">
        <is>
          <t>Staff edits event details</t>
        </is>
      </c>
      <c r="D7" s="20" t="inlineStr">
        <is>
          <t>Medium</t>
        </is>
      </c>
      <c r="E7" s="7" t="inlineStr">
        <is>
          <t>Functional</t>
        </is>
      </c>
      <c r="F7" s="7" t="inlineStr">
        <is>
          <t>Event exists.</t>
        </is>
      </c>
      <c r="G7" s="7" t="inlineStr">
        <is>
          <t>Click Edit on event
Update title/date
Save</t>
        </is>
      </c>
      <c r="H7" s="7" t="inlineStr">
        <is>
          <t>Event updated.</t>
        </is>
      </c>
      <c r="I7" s="7" t="inlineStr">
        <is>
          <t>Same + audit log entry.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EVT-005</t>
        </is>
      </c>
      <c r="B8" s="17" t="inlineStr">
        <is>
          <t>Delete</t>
        </is>
      </c>
      <c r="C8" s="17" t="inlineStr">
        <is>
          <t>Staff deletes past event</t>
        </is>
      </c>
      <c r="D8" s="20" t="inlineStr">
        <is>
          <t>Medium</t>
        </is>
      </c>
      <c r="E8" s="17" t="inlineStr">
        <is>
          <t>Functional</t>
        </is>
      </c>
      <c r="F8" s="17" t="inlineStr">
        <is>
          <t>Past event exists.</t>
        </is>
      </c>
      <c r="G8" s="17" t="inlineStr">
        <is>
          <t>Click Delete on event
Confirm</t>
        </is>
      </c>
      <c r="H8" s="17" t="inlineStr">
        <is>
          <t>Event deleted.</t>
        </is>
      </c>
      <c r="I8" s="17" t="inlineStr">
        <is>
          <t>Soft delete (archived) not hard delete. Audit logged.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EVT-006</t>
        </is>
      </c>
      <c r="B9" s="7" t="inlineStr">
        <is>
          <t>Notification</t>
        </is>
      </c>
      <c r="C9" s="7" t="inlineStr">
        <is>
          <t>Students notified when new event created</t>
        </is>
      </c>
      <c r="D9" s="19" t="inlineStr">
        <is>
          <t>High</t>
        </is>
      </c>
      <c r="E9" s="7" t="inlineStr">
        <is>
          <t>Functional</t>
        </is>
      </c>
      <c r="F9" s="7" t="inlineStr">
        <is>
          <t>Students enrolled.</t>
        </is>
      </c>
      <c r="G9" s="7" t="inlineStr">
        <is>
          <t>Create event
Check student notifications</t>
        </is>
      </c>
      <c r="H9" s="7" t="inlineStr">
        <is>
          <t>V1: No event notifications.</t>
        </is>
      </c>
      <c r="I9" s="7" t="inlineStr">
        <is>
          <t>V2: All students receive in-app notification.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EVT-007</t>
        </is>
      </c>
      <c r="B10" s="17" t="inlineStr">
        <is>
          <t>Student View</t>
        </is>
      </c>
      <c r="C10" s="17" t="inlineStr">
        <is>
          <t>Students can view upcoming events</t>
        </is>
      </c>
      <c r="D10" s="19" t="inlineStr">
        <is>
          <t>High</t>
        </is>
      </c>
      <c r="E10" s="17" t="inlineStr">
        <is>
          <t>Functional</t>
        </is>
      </c>
      <c r="F10" s="17" t="inlineStr">
        <is>
          <t>Events created. Student logged in.</t>
        </is>
      </c>
      <c r="G10" s="17" t="inlineStr">
        <is>
          <t>Login as student → Events section</t>
        </is>
      </c>
      <c r="H10" s="17" t="inlineStr">
        <is>
          <t>Event list shown.</t>
        </is>
      </c>
      <c r="I10" s="17" t="inlineStr">
        <is>
          <t>Formatted calendar or card view. Past events greyed out.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EVT-008</t>
        </is>
      </c>
      <c r="B11" s="7" t="inlineStr">
        <is>
          <t>Security</t>
        </is>
      </c>
      <c r="C11" s="7" t="inlineStr">
        <is>
          <t>Student cannot create events</t>
        </is>
      </c>
      <c r="D11" s="18" t="inlineStr">
        <is>
          <t>Critical</t>
        </is>
      </c>
      <c r="E11" s="7" t="inlineStr">
        <is>
          <t>Security</t>
        </is>
      </c>
      <c r="F11" s="7" t="inlineStr">
        <is>
          <t>Student JWT.</t>
        </is>
      </c>
      <c r="G11" s="7" t="inlineStr">
        <is>
          <t>POST /api/events with student JWT</t>
        </is>
      </c>
      <c r="H11" s="7" t="inlineStr">
        <is>
          <t>403 Forbidden.</t>
        </is>
      </c>
      <c r="I11" s="7" t="inlineStr">
        <is>
          <t>Same.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EVT-009</t>
        </is>
      </c>
      <c r="B12" s="17" t="inlineStr">
        <is>
          <t>Validation</t>
        </is>
      </c>
      <c r="C12" s="17" t="inlineStr">
        <is>
          <t>Event date cannot be in the past</t>
        </is>
      </c>
      <c r="D12" s="19" t="inlineStr">
        <is>
          <t>High</t>
        </is>
      </c>
      <c r="E12" s="17" t="inlineStr">
        <is>
          <t>Negative</t>
        </is>
      </c>
      <c r="F12" s="17" t="inlineStr">
        <is>
          <t>Event creation form.</t>
        </is>
      </c>
      <c r="G12" s="17" t="inlineStr">
        <is>
          <t>Enter past date for event
Save</t>
        </is>
      </c>
      <c r="H12" s="17" t="inlineStr">
        <is>
          <t>V1 BUG: Past dates accepted.</t>
        </is>
      </c>
      <c r="I12" s="17" t="inlineStr">
        <is>
          <t>V2 FIX: Validation: Event date must be today or later.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EVT-010</t>
        </is>
      </c>
      <c r="B13" s="7" t="inlineStr">
        <is>
          <t>Validation</t>
        </is>
      </c>
      <c r="C13" s="7" t="inlineStr">
        <is>
          <t>Event title required and min length</t>
        </is>
      </c>
      <c r="D13" s="20" t="inlineStr">
        <is>
          <t>Medium</t>
        </is>
      </c>
      <c r="E13" s="7" t="inlineStr">
        <is>
          <t>Negative</t>
        </is>
      </c>
      <c r="F13" s="7" t="inlineStr">
        <is>
          <t>Event creation form.</t>
        </is>
      </c>
      <c r="G13" s="7" t="inlineStr">
        <is>
          <t>Submit event with empty title</t>
        </is>
      </c>
      <c r="H13" s="7" t="inlineStr">
        <is>
          <t>V1: May create nameless event.</t>
        </is>
      </c>
      <c r="I13" s="7" t="inlineStr">
        <is>
          <t>V2: Required field. Min 5 characters.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EVT-011</t>
        </is>
      </c>
      <c r="B14" s="17" t="inlineStr">
        <is>
          <t>Audit</t>
        </is>
      </c>
      <c r="C14" s="17" t="inlineStr">
        <is>
          <t>Event creation logged in audit</t>
        </is>
      </c>
      <c r="D14" s="20" t="inlineStr">
        <is>
          <t>Medium</t>
        </is>
      </c>
      <c r="E14" s="17" t="inlineStr">
        <is>
          <t>Functional</t>
        </is>
      </c>
      <c r="F14" s="17" t="inlineStr">
        <is>
          <t>SuperAdmin access.</t>
        </is>
      </c>
      <c r="G14" s="17" t="inlineStr">
        <is>
          <t>Create event
Check AuditLog</t>
        </is>
      </c>
      <c r="H14" s="17" t="inlineStr">
        <is>
          <t>Not logged.</t>
        </is>
      </c>
      <c r="I14" s="17" t="inlineStr">
        <is>
          <t>CREATE_EVENT with actor and timestamp.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EVT-012</t>
        </is>
      </c>
      <c r="B15" s="7" t="inlineStr">
        <is>
          <t>Calendar</t>
        </is>
      </c>
      <c r="C15" s="7" t="inlineStr">
        <is>
          <t>Events appear on school calendar view</t>
        </is>
      </c>
      <c r="D15" s="20" t="inlineStr">
        <is>
          <t>Medium</t>
        </is>
      </c>
      <c r="E15" s="7" t="inlineStr">
        <is>
          <t>Functional</t>
        </is>
      </c>
      <c r="F15" s="7" t="inlineStr">
        <is>
          <t>Events created.</t>
        </is>
      </c>
      <c r="G15" s="7" t="inlineStr">
        <is>
          <t>Navigate to calendar view</t>
        </is>
      </c>
      <c r="H15" s="7" t="inlineStr">
        <is>
          <t>V1: No calendar view.</t>
        </is>
      </c>
      <c r="I15" s="7" t="inlineStr">
        <is>
          <t>V2: Month/week calendar with events marked.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EVT-013</t>
        </is>
      </c>
      <c r="B16" s="17" t="inlineStr">
        <is>
          <t>Attachment</t>
        </is>
      </c>
      <c r="C16" s="17" t="inlineStr">
        <is>
          <t>Event can have file attachment</t>
        </is>
      </c>
      <c r="D16" s="28" t="inlineStr">
        <is>
          <t>Low</t>
        </is>
      </c>
      <c r="E16" s="17" t="inlineStr">
        <is>
          <t>Functional</t>
        </is>
      </c>
      <c r="F16" s="17" t="inlineStr">
        <is>
          <t>Event creation form.</t>
        </is>
      </c>
      <c r="G16" s="17" t="inlineStr">
        <is>
          <t>Upload PDF attachment to event
Save</t>
        </is>
      </c>
      <c r="H16" s="17" t="inlineStr">
        <is>
          <t>V1: No attachment support.</t>
        </is>
      </c>
      <c r="I16" s="17" t="inlineStr">
        <is>
          <t>V2: Attachment uploaded. Students can download.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EVT-014</t>
        </is>
      </c>
      <c r="B17" s="7" t="inlineStr">
        <is>
          <t>Search</t>
        </is>
      </c>
      <c r="C17" s="7" t="inlineStr">
        <is>
          <t>Search events by title keyword</t>
        </is>
      </c>
      <c r="D17" s="20" t="inlineStr">
        <is>
          <t>Medium</t>
        </is>
      </c>
      <c r="E17" s="7" t="inlineStr">
        <is>
          <t>Functional</t>
        </is>
      </c>
      <c r="F17" s="7" t="inlineStr">
        <is>
          <t>Multiple events.</t>
        </is>
      </c>
      <c r="G17" s="7" t="inlineStr">
        <is>
          <t>Type keyword in search
View filtered results</t>
        </is>
      </c>
      <c r="H17" s="7" t="inlineStr">
        <is>
          <t>V1: No search.</t>
        </is>
      </c>
      <c r="I17" s="7" t="inlineStr">
        <is>
          <t>V2: Real-time filter.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EVT-015</t>
        </is>
      </c>
      <c r="B18" s="17" t="inlineStr">
        <is>
          <t>Dashboard</t>
        </is>
      </c>
      <c r="C18" s="17" t="inlineStr">
        <is>
          <t>Upcoming events count on admin dashboard</t>
        </is>
      </c>
      <c r="D18" s="19" t="inlineStr">
        <is>
          <t>High</t>
        </is>
      </c>
      <c r="E18" s="17" t="inlineStr">
        <is>
          <t>Functional</t>
        </is>
      </c>
      <c r="F18" s="17" t="inlineStr">
        <is>
          <t>Admin dashboard loaded.</t>
        </is>
      </c>
      <c r="G18" s="17" t="inlineStr">
        <is>
          <t>View upcomingEvents KPI card</t>
        </is>
      </c>
      <c r="H18" s="17" t="inlineStr">
        <is>
          <t>Count shown (mock data in V1).</t>
        </is>
      </c>
      <c r="I18" s="17" t="inlineStr">
        <is>
          <t>V2: Real-time count from DB.</t>
        </is>
      </c>
      <c r="J18" s="17" t="inlineStr"/>
      <c r="K18" s="17" t="inlineStr"/>
      <c r="L18" s="17" t="inlineStr"/>
      <c r="M18" s="17" t="inlineStr"/>
      <c r="N18" s="17" t="inlineStr">
        <is>
          <t>Mock data used in V1 (const MOCK_STATS)</t>
        </is>
      </c>
    </row>
    <row r="19" ht="55" customHeight="1">
      <c r="A19" s="7" t="inlineStr">
        <is>
          <t>EVT-016</t>
        </is>
      </c>
      <c r="B19" s="7" t="inlineStr">
        <is>
          <t>Edge</t>
        </is>
      </c>
      <c r="C19" s="7" t="inlineStr">
        <is>
          <t>Event with same title on same date blocked</t>
        </is>
      </c>
      <c r="D19" s="28" t="inlineStr">
        <is>
          <t>Low</t>
        </is>
      </c>
      <c r="E19" s="7" t="inlineStr">
        <is>
          <t>Negative</t>
        </is>
      </c>
      <c r="F19" s="7" t="inlineStr">
        <is>
          <t>Event already exists.</t>
        </is>
      </c>
      <c r="G19" s="7" t="inlineStr">
        <is>
          <t>Create duplicate event</t>
        </is>
      </c>
      <c r="H19" s="7" t="inlineStr">
        <is>
          <t>Duplicate created.</t>
        </is>
      </c>
      <c r="I19" s="7" t="inlineStr">
        <is>
          <t>V2: Warning: Similar event exists on this date.</t>
        </is>
      </c>
      <c r="J19" s="7" t="inlineStr"/>
      <c r="K19" s="7" t="inlineStr"/>
      <c r="L19" s="7" t="inlineStr"/>
      <c r="M19" s="7" t="inlineStr"/>
      <c r="N19" s="7" t="inlineStr"/>
    </row>
    <row r="21">
      <c r="A21" s="35" t="inlineStr">
        <is>
          <t>TOTAL TEST CASES: 16</t>
        </is>
      </c>
      <c r="B21" s="22" t="n"/>
      <c r="C21" s="22" t="n"/>
      <c r="D21" s="22" t="n"/>
      <c r="E21" s="23">
        <f>COUNTIF(K4:K19,"✅ PASS")</f>
        <v/>
      </c>
      <c r="F21" s="24">
        <f>COUNTIF(K4:K19,"❌ FAIL")</f>
        <v/>
      </c>
      <c r="G21" s="22" t="inlineStr">
        <is>
          <t>V1 Pass%</t>
        </is>
      </c>
      <c r="H21" s="25">
        <f>IFERROR(E21/(16)*100,0)&amp;"%"</f>
        <v/>
      </c>
      <c r="I21" s="23">
        <f>COUNTIF(M4:M19,"✅ PASS")</f>
        <v/>
      </c>
      <c r="J21" s="24">
        <f>COUNTIF(M4:M19,"❌ FAIL")</f>
        <v/>
      </c>
      <c r="K21" s="22" t="inlineStr">
        <is>
          <t>V2 Pass%</t>
        </is>
      </c>
      <c r="L21" s="25">
        <f>IFERROR(I21/(16)*100,0)&amp;"%"</f>
        <v/>
      </c>
      <c r="M21" s="22" t="n"/>
      <c r="N21" s="22" t="n"/>
    </row>
  </sheetData>
  <mergeCells count="3">
    <mergeCell ref="A2:N2"/>
    <mergeCell ref="A21:D21"/>
    <mergeCell ref="A1:N1"/>
  </mergeCells>
  <dataValidations count="2">
    <dataValidation sqref="K4:K19" showDropDown="0" showInputMessage="0" showErrorMessage="0" allowBlank="0" type="list">
      <formula1>"✅ PASS,❌ FAIL,🔶 BLOCKED,⬜ NOT RUN,➡️ N/A"</formula1>
    </dataValidation>
    <dataValidation sqref="M4:M19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30" t="inlineStr">
        <is>
          <t>🧪  SuperAdmin Dashboard &amp; Governance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31" t="inlineStr">
        <is>
          <t>Test ID</t>
        </is>
      </c>
      <c r="B3" s="31" t="inlineStr">
        <is>
          <t>Category</t>
        </is>
      </c>
      <c r="C3" s="31" t="inlineStr">
        <is>
          <t>Test Case Name</t>
        </is>
      </c>
      <c r="D3" s="31" t="inlineStr">
        <is>
          <t>Priority</t>
        </is>
      </c>
      <c r="E3" s="31" t="inlineStr">
        <is>
          <t>Type</t>
        </is>
      </c>
      <c r="F3" s="31" t="inlineStr">
        <is>
          <t>Pre-conditions</t>
        </is>
      </c>
      <c r="G3" s="31" t="inlineStr">
        <is>
          <t>Test Steps</t>
        </is>
      </c>
      <c r="H3" s="31" t="inlineStr">
        <is>
          <t>Expected Result (V1)</t>
        </is>
      </c>
      <c r="I3" s="31" t="inlineStr">
        <is>
          <t>Expected Result (V2)</t>
        </is>
      </c>
      <c r="J3" s="31" t="inlineStr">
        <is>
          <t>Actual Result (V1)</t>
        </is>
      </c>
      <c r="K3" s="31" t="inlineStr">
        <is>
          <t>Status V1</t>
        </is>
      </c>
      <c r="L3" s="31" t="inlineStr">
        <is>
          <t>Actual Result (V2)</t>
        </is>
      </c>
      <c r="M3" s="31" t="inlineStr">
        <is>
          <t>Status V2</t>
        </is>
      </c>
      <c r="N3" s="31" t="inlineStr">
        <is>
          <t>Notes / Defect ID</t>
        </is>
      </c>
    </row>
    <row r="4" ht="55" customHeight="1">
      <c r="A4" s="17" t="inlineStr">
        <is>
          <t>SA-001</t>
        </is>
      </c>
      <c r="B4" s="17" t="inlineStr">
        <is>
          <t>KPI</t>
        </is>
      </c>
      <c r="C4" s="17" t="inlineStr">
        <is>
          <t>Total Students KPI displays real count</t>
        </is>
      </c>
      <c r="D4" s="18" t="inlineStr">
        <is>
          <t>Critical</t>
        </is>
      </c>
      <c r="E4" s="17" t="inlineStr">
        <is>
          <t>Functional</t>
        </is>
      </c>
      <c r="F4" s="17" t="inlineStr">
        <is>
          <t>SuperAdmin logged in. Students in DB.</t>
        </is>
      </c>
      <c r="G4" s="17" t="inlineStr">
        <is>
          <t>Load SuperAdmin dashboard
View Total Students card</t>
        </is>
      </c>
      <c r="H4" s="17" t="inlineStr">
        <is>
          <t>V1 BUG: MOCK_STATS hardcoded (1540). Not real DB count.</t>
        </is>
      </c>
      <c r="I4" s="17" t="inlineStr">
        <is>
          <t>V2 FIX: Live count from /api/stats endpoint.</t>
        </is>
      </c>
      <c r="J4" s="17" t="inlineStr"/>
      <c r="K4" s="17" t="inlineStr"/>
      <c r="L4" s="17" t="inlineStr"/>
      <c r="M4" s="17" t="inlineStr"/>
      <c r="N4" s="17" t="inlineStr">
        <is>
          <t>MOCK_STATS found in admin/page.tsx</t>
        </is>
      </c>
    </row>
    <row r="5" ht="55" customHeight="1">
      <c r="A5" s="7" t="inlineStr">
        <is>
          <t>SA-002</t>
        </is>
      </c>
      <c r="B5" s="7" t="inlineStr">
        <is>
          <t>KPI</t>
        </is>
      </c>
      <c r="C5" s="7" t="inlineStr">
        <is>
          <t>Pending Applications KPI is accurate</t>
        </is>
      </c>
      <c r="D5" s="19" t="inlineStr">
        <is>
          <t>High</t>
        </is>
      </c>
      <c r="E5" s="7" t="inlineStr">
        <is>
          <t>Functional</t>
        </is>
      </c>
      <c r="F5" s="7" t="inlineStr">
        <is>
          <t>Applicants in PENDING status.</t>
        </is>
      </c>
      <c r="G5" s="7" t="inlineStr">
        <is>
          <t>View Pending Applications card</t>
        </is>
      </c>
      <c r="H5" s="7" t="inlineStr">
        <is>
          <t>V1 BUG: Hardcoded (12).</t>
        </is>
      </c>
      <c r="I5" s="7" t="inlineStr">
        <is>
          <t>V2: Real PENDING count from DB.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SA-003</t>
        </is>
      </c>
      <c r="B6" s="17" t="inlineStr">
        <is>
          <t>KPI</t>
        </is>
      </c>
      <c r="C6" s="17" t="inlineStr">
        <is>
          <t>Outstanding Fees KPI is accurate</t>
        </is>
      </c>
      <c r="D6" s="19" t="inlineStr">
        <is>
          <t>High</t>
        </is>
      </c>
      <c r="E6" s="17" t="inlineStr">
        <is>
          <t>Functional</t>
        </is>
      </c>
      <c r="F6" s="17" t="inlineStr">
        <is>
          <t>Students with unpaid fees.</t>
        </is>
      </c>
      <c r="G6" s="17" t="inlineStr">
        <is>
          <t>View Outstanding Fees card</t>
        </is>
      </c>
      <c r="H6" s="17" t="inlineStr">
        <is>
          <t>V1 BUG: Hardcoded (45).</t>
        </is>
      </c>
      <c r="I6" s="17" t="inlineStr">
        <is>
          <t>V2: Real outstanding count.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SA-004</t>
        </is>
      </c>
      <c r="B7" s="7" t="inlineStr">
        <is>
          <t>KPI</t>
        </is>
      </c>
      <c r="C7" s="7" t="inlineStr">
        <is>
          <t>Open Complaints KPI is accurate</t>
        </is>
      </c>
      <c r="D7" s="19" t="inlineStr">
        <is>
          <t>High</t>
        </is>
      </c>
      <c r="E7" s="7" t="inlineStr">
        <is>
          <t>Functional</t>
        </is>
      </c>
      <c r="F7" s="7" t="inlineStr">
        <is>
          <t>Open complaints exist.</t>
        </is>
      </c>
      <c r="G7" s="7" t="inlineStr">
        <is>
          <t>View Open Complaints card</t>
        </is>
      </c>
      <c r="H7" s="7" t="inlineStr">
        <is>
          <t>V1 BUG: Hardcoded (7).</t>
        </is>
      </c>
      <c r="I7" s="7" t="inlineStr">
        <is>
          <t>V2: Real OPEN complaints count.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SA-005</t>
        </is>
      </c>
      <c r="B8" s="17" t="inlineStr">
        <is>
          <t>Charts</t>
        </is>
      </c>
      <c r="C8" s="17" t="inlineStr">
        <is>
          <t>Applications bar chart shows real monthly data</t>
        </is>
      </c>
      <c r="D8" s="19" t="inlineStr">
        <is>
          <t>High</t>
        </is>
      </c>
      <c r="E8" s="17" t="inlineStr">
        <is>
          <t>Functional</t>
        </is>
      </c>
      <c r="F8" s="17" t="inlineStr">
        <is>
          <t>Applications over multiple months.</t>
        </is>
      </c>
      <c r="G8" s="17" t="inlineStr">
        <is>
          <t>View bar chart on dashboard</t>
        </is>
      </c>
      <c r="H8" s="17" t="inlineStr">
        <is>
          <t>V1: Hardcoded chart data (Jan-May mock values).</t>
        </is>
      </c>
      <c r="I8" s="17" t="inlineStr">
        <is>
          <t>V2: Real monthly application counts from DB.</t>
        </is>
      </c>
      <c r="J8" s="17" t="inlineStr"/>
      <c r="K8" s="17" t="inlineStr"/>
      <c r="L8" s="17" t="inlineStr"/>
      <c r="M8" s="17" t="inlineStr"/>
      <c r="N8" s="17" t="inlineStr">
        <is>
          <t>CHART_DATA_APPS is hardcoded in V1</t>
        </is>
      </c>
    </row>
    <row r="9" ht="55" customHeight="1">
      <c r="A9" s="7" t="inlineStr">
        <is>
          <t>SA-006</t>
        </is>
      </c>
      <c r="B9" s="7" t="inlineStr">
        <is>
          <t>Departments</t>
        </is>
      </c>
      <c r="C9" s="7" t="inlineStr">
        <is>
          <t>SuperAdmin creates new department</t>
        </is>
      </c>
      <c r="D9" s="18" t="inlineStr">
        <is>
          <t>Critical</t>
        </is>
      </c>
      <c r="E9" s="7" t="inlineStr">
        <is>
          <t>Functional</t>
        </is>
      </c>
      <c r="F9" s="7" t="inlineStr">
        <is>
          <t>Dept governance section.</t>
        </is>
      </c>
      <c r="G9" s="7" t="inlineStr">
        <is>
          <t>Click New Department
Enter name
Assign Head of Dept
Save</t>
        </is>
      </c>
      <c r="H9" s="7" t="inlineStr">
        <is>
          <t>Department created.</t>
        </is>
      </c>
      <c r="I9" s="7" t="inlineStr">
        <is>
          <t>Same + CREATE_DEPARTMENT audit entry. cryptographically secure log.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SA-007</t>
        </is>
      </c>
      <c r="B10" s="17" t="inlineStr">
        <is>
          <t>Departments</t>
        </is>
      </c>
      <c r="C10" s="17" t="inlineStr">
        <is>
          <t>SuperAdmin assigns staff to department</t>
        </is>
      </c>
      <c r="D10" s="19" t="inlineStr">
        <is>
          <t>High</t>
        </is>
      </c>
      <c r="E10" s="17" t="inlineStr">
        <is>
          <t>Functional</t>
        </is>
      </c>
      <c r="F10" s="17" t="inlineStr">
        <is>
          <t>Staff and department exist.</t>
        </is>
      </c>
      <c r="G10" s="17" t="inlineStr">
        <is>
          <t>Open department
Assign staff member
Save</t>
        </is>
      </c>
      <c r="H10" s="17" t="inlineStr">
        <is>
          <t>Staff assigned.</t>
        </is>
      </c>
      <c r="I10" s="17" t="inlineStr">
        <is>
          <t>Same + audit log. Staff restricted to that dept.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SA-008</t>
        </is>
      </c>
      <c r="B11" s="7" t="inlineStr">
        <is>
          <t>Departments</t>
        </is>
      </c>
      <c r="C11" s="7" t="inlineStr">
        <is>
          <t>SuperAdmin removes department</t>
        </is>
      </c>
      <c r="D11" s="20" t="inlineStr">
        <is>
          <t>Medium</t>
        </is>
      </c>
      <c r="E11" s="7" t="inlineStr">
        <is>
          <t>Functional</t>
        </is>
      </c>
      <c r="F11" s="7" t="inlineStr">
        <is>
          <t>Department with no students.</t>
        </is>
      </c>
      <c r="G11" s="7" t="inlineStr">
        <is>
          <t>Click Remove on department
Confirm</t>
        </is>
      </c>
      <c r="H11" s="7" t="inlineStr">
        <is>
          <t>Department deleted.</t>
        </is>
      </c>
      <c r="I11" s="7" t="inlineStr">
        <is>
          <t>V2: Soft delete. Students reassigned. Audit logged.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SA-009</t>
        </is>
      </c>
      <c r="B12" s="17" t="inlineStr">
        <is>
          <t>Audit Logs</t>
        </is>
      </c>
      <c r="C12" s="17" t="inlineStr">
        <is>
          <t>SuperAdmin views all audit log entries</t>
        </is>
      </c>
      <c r="D12" s="18" t="inlineStr">
        <is>
          <t>Critical</t>
        </is>
      </c>
      <c r="E12" s="17" t="inlineStr">
        <is>
          <t>Functional</t>
        </is>
      </c>
      <c r="F12" s="17" t="inlineStr">
        <is>
          <t>Actions performed by users.</t>
        </is>
      </c>
      <c r="G12" s="17" t="inlineStr">
        <is>
          <t>Navigate to Audit &amp; Traceability
View logs</t>
        </is>
      </c>
      <c r="H12" s="17" t="inlineStr">
        <is>
          <t>Log table shown.</t>
        </is>
      </c>
      <c r="I12" s="17" t="inlineStr">
        <is>
          <t>Filterable by action type, user, date range. Paginated.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SA-010</t>
        </is>
      </c>
      <c r="B13" s="7" t="inlineStr">
        <is>
          <t>Audit Logs</t>
        </is>
      </c>
      <c r="C13" s="7" t="inlineStr">
        <is>
          <t>Audit logs cannot be deleted</t>
        </is>
      </c>
      <c r="D13" s="18" t="inlineStr">
        <is>
          <t>Critical</t>
        </is>
      </c>
      <c r="E13" s="7" t="inlineStr">
        <is>
          <t>Security</t>
        </is>
      </c>
      <c r="F13" s="7" t="inlineStr">
        <is>
          <t>Audit logs exist.</t>
        </is>
      </c>
      <c r="G13" s="7" t="inlineStr">
        <is>
          <t>Attempt DELETE /api/audit-logs/{id}</t>
        </is>
      </c>
      <c r="H13" s="7" t="inlineStr">
        <is>
          <t>405 Method Not Allowed.</t>
        </is>
      </c>
      <c r="I13" s="7" t="inlineStr">
        <is>
          <t>Same. Immutable design confirmed.</t>
        </is>
      </c>
      <c r="J13" s="7" t="inlineStr"/>
      <c r="K13" s="7" t="inlineStr"/>
      <c r="L13" s="7" t="inlineStr"/>
      <c r="M13" s="7" t="inlineStr"/>
      <c r="N13" s="7" t="inlineStr">
        <is>
          <t>Core security requirement</t>
        </is>
      </c>
    </row>
    <row r="14" ht="55" customHeight="1">
      <c r="A14" s="17" t="inlineStr">
        <is>
          <t>SA-011</t>
        </is>
      </c>
      <c r="B14" s="17" t="inlineStr">
        <is>
          <t>Audit Logs</t>
        </is>
      </c>
      <c r="C14" s="17" t="inlineStr">
        <is>
          <t>Audit log filter by action type</t>
        </is>
      </c>
      <c r="D14" s="19" t="inlineStr">
        <is>
          <t>High</t>
        </is>
      </c>
      <c r="E14" s="17" t="inlineStr">
        <is>
          <t>Functional</t>
        </is>
      </c>
      <c r="F14" s="17" t="inlineStr">
        <is>
          <t>Various action types in log.</t>
        </is>
      </c>
      <c r="G14" s="17" t="inlineStr">
        <is>
          <t>Filter by ACCEPT_APPLICANT</t>
        </is>
      </c>
      <c r="H14" s="17" t="inlineStr">
        <is>
          <t>V1: No filter.</t>
        </is>
      </c>
      <c r="I14" s="17" t="inlineStr">
        <is>
          <t>Only matching log entries shown.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SA-012</t>
        </is>
      </c>
      <c r="B15" s="7" t="inlineStr">
        <is>
          <t>Audit Logs</t>
        </is>
      </c>
      <c r="C15" s="7" t="inlineStr">
        <is>
          <t>Audit log filter by user</t>
        </is>
      </c>
      <c r="D15" s="19" t="inlineStr">
        <is>
          <t>High</t>
        </is>
      </c>
      <c r="E15" s="7" t="inlineStr">
        <is>
          <t>Functional</t>
        </is>
      </c>
      <c r="F15" s="7" t="inlineStr">
        <is>
          <t>Multiple users active.</t>
        </is>
      </c>
      <c r="G15" s="7" t="inlineStr">
        <is>
          <t>Filter by specific staff user</t>
        </is>
      </c>
      <c r="H15" s="7" t="inlineStr">
        <is>
          <t>V1: No filter.</t>
        </is>
      </c>
      <c r="I15" s="7" t="inlineStr">
        <is>
          <t>All actions by that user shown.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SA-013</t>
        </is>
      </c>
      <c r="B16" s="17" t="inlineStr">
        <is>
          <t>Financial Oversight</t>
        </is>
      </c>
      <c r="C16" s="17" t="inlineStr">
        <is>
          <t>SuperAdmin sees all departments financial summary</t>
        </is>
      </c>
      <c r="D16" s="19" t="inlineStr">
        <is>
          <t>High</t>
        </is>
      </c>
      <c r="E16" s="17" t="inlineStr">
        <is>
          <t>Functional</t>
        </is>
      </c>
      <c r="F16" s="17" t="inlineStr">
        <is>
          <t>Fees across departments.</t>
        </is>
      </c>
      <c r="G16" s="17" t="inlineStr">
        <is>
          <t>View financial oversight section</t>
        </is>
      </c>
      <c r="H16" s="17" t="inlineStr">
        <is>
          <t>Overall totals only.</t>
        </is>
      </c>
      <c r="I16" s="17" t="inlineStr">
        <is>
          <t>Per-department breakdown: Collected vs Outstanding.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SA-014</t>
        </is>
      </c>
      <c r="B17" s="7" t="inlineStr">
        <is>
          <t>Staff Management</t>
        </is>
      </c>
      <c r="C17" s="7" t="inlineStr">
        <is>
          <t>SuperAdmin creates new staff account</t>
        </is>
      </c>
      <c r="D17" s="19" t="inlineStr">
        <is>
          <t>High</t>
        </is>
      </c>
      <c r="E17" s="7" t="inlineStr">
        <is>
          <t>Functional</t>
        </is>
      </c>
      <c r="F17" s="7" t="inlineStr">
        <is>
          <t>SuperAdmin access.</t>
        </is>
      </c>
      <c r="G17" s="7" t="inlineStr">
        <is>
          <t>Staff Management → Add Staff
Fill details
Save</t>
        </is>
      </c>
      <c r="H17" s="7" t="inlineStr">
        <is>
          <t>Staff created.</t>
        </is>
      </c>
      <c r="I17" s="7" t="inlineStr">
        <is>
          <t>Same + welcome email sent. Audit logged.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SA-015</t>
        </is>
      </c>
      <c r="B18" s="17" t="inlineStr">
        <is>
          <t>Staff Management</t>
        </is>
      </c>
      <c r="C18" s="17" t="inlineStr">
        <is>
          <t>SuperAdmin deactivates staff account</t>
        </is>
      </c>
      <c r="D18" s="19" t="inlineStr">
        <is>
          <t>High</t>
        </is>
      </c>
      <c r="E18" s="17" t="inlineStr">
        <is>
          <t>Functional</t>
        </is>
      </c>
      <c r="F18" s="17" t="inlineStr">
        <is>
          <t>Staff account active.</t>
        </is>
      </c>
      <c r="G18" s="17" t="inlineStr">
        <is>
          <t>Select staff → Deactivate
Confirm</t>
        </is>
      </c>
      <c r="H18" s="17" t="inlineStr">
        <is>
          <t>Staff deactivated. Cannot login.</t>
        </is>
      </c>
      <c r="I18" s="17" t="inlineStr">
        <is>
          <t>Same. All active sessions invalidated. Audit logged.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SA-016</t>
        </is>
      </c>
      <c r="B19" s="7" t="inlineStr">
        <is>
          <t>Quick Actions</t>
        </is>
      </c>
      <c r="C19" s="7" t="inlineStr">
        <is>
          <t>Quick Actions panel shortcuts work</t>
        </is>
      </c>
      <c r="D19" s="20" t="inlineStr">
        <is>
          <t>Medium</t>
        </is>
      </c>
      <c r="E19" s="7" t="inlineStr">
        <is>
          <t>Functional</t>
        </is>
      </c>
      <c r="F19" s="7" t="inlineStr">
        <is>
          <t>Admin dashboard loaded.</t>
        </is>
      </c>
      <c r="G19" s="7" t="inlineStr">
        <is>
          <t>Click each QuickActionsPanel button</t>
        </is>
      </c>
      <c r="H19" s="7" t="inlineStr">
        <is>
          <t>Navigation works.</t>
        </is>
      </c>
      <c r="I19" s="7" t="inlineStr">
        <is>
          <t>Same. Analytics panel shows summary.</t>
        </is>
      </c>
      <c r="J19" s="7" t="inlineStr"/>
      <c r="K19" s="7" t="inlineStr"/>
      <c r="L19" s="7" t="inlineStr"/>
      <c r="M19" s="7" t="inlineStr"/>
      <c r="N19" s="7" t="inlineStr">
        <is>
          <t>QuickActionsPanel component</t>
        </is>
      </c>
    </row>
    <row r="20" ht="55" customHeight="1">
      <c r="A20" s="17" t="inlineStr">
        <is>
          <t>SA-017</t>
        </is>
      </c>
      <c r="B20" s="17" t="inlineStr">
        <is>
          <t>Charts</t>
        </is>
      </c>
      <c r="C20" s="17" t="inlineStr">
        <is>
          <t>Dual line chart shows trends</t>
        </is>
      </c>
      <c r="D20" s="20" t="inlineStr">
        <is>
          <t>Medium</t>
        </is>
      </c>
      <c r="E20" s="17" t="inlineStr">
        <is>
          <t>Functional</t>
        </is>
      </c>
      <c r="F20" s="17" t="inlineStr">
        <is>
          <t>Historical data in DB.</t>
        </is>
      </c>
      <c r="G20" s="17" t="inlineStr">
        <is>
          <t>View DualLineChart on dashboard</t>
        </is>
      </c>
      <c r="H20" s="17" t="inlineStr">
        <is>
          <t>V1: Static mock data.</t>
        </is>
      </c>
      <c r="I20" s="17" t="inlineStr">
        <is>
          <t>V2: Real-time data from API.</t>
        </is>
      </c>
      <c r="J20" s="17" t="inlineStr"/>
      <c r="K20" s="17" t="inlineStr"/>
      <c r="L20" s="17" t="inlineStr"/>
      <c r="M20" s="17" t="inlineStr"/>
      <c r="N20" s="17" t="inlineStr">
        <is>
          <t>DualLineChart component</t>
        </is>
      </c>
    </row>
    <row r="21" ht="55" customHeight="1">
      <c r="A21" s="7" t="inlineStr">
        <is>
          <t>SA-018</t>
        </is>
      </c>
      <c r="B21" s="7" t="inlineStr">
        <is>
          <t>Security</t>
        </is>
      </c>
      <c r="C21" s="7" t="inlineStr">
        <is>
          <t>Staff cannot access SuperAdmin features</t>
        </is>
      </c>
      <c r="D21" s="18" t="inlineStr">
        <is>
          <t>Critical</t>
        </is>
      </c>
      <c r="E21" s="7" t="inlineStr">
        <is>
          <t>Security</t>
        </is>
      </c>
      <c r="F21" s="7" t="inlineStr">
        <is>
          <t>Staff JWT.</t>
        </is>
      </c>
      <c r="G21" s="7" t="inlineStr">
        <is>
          <t>Navigate to /superadmin/* endpoints</t>
        </is>
      </c>
      <c r="H21" s="7" t="inlineStr">
        <is>
          <t>V1 BUG: Some superadmin routes may not validate role.</t>
        </is>
      </c>
      <c r="I21" s="7" t="inlineStr">
        <is>
          <t>V2 FIX: All superadmin routes require SUPER_ADMIN role.</t>
        </is>
      </c>
      <c r="J21" s="7" t="inlineStr"/>
      <c r="K21" s="7" t="inlineStr"/>
      <c r="L21" s="7" t="inlineStr"/>
      <c r="M21" s="7" t="inlineStr"/>
      <c r="N21" s="7" t="inlineStr"/>
    </row>
    <row r="22" ht="55" customHeight="1">
      <c r="A22" s="17" t="inlineStr">
        <is>
          <t>SA-019</t>
        </is>
      </c>
      <c r="B22" s="17" t="inlineStr">
        <is>
          <t>Real-time</t>
        </is>
      </c>
      <c r="C22" s="17" t="inlineStr">
        <is>
          <t>KPI cards auto-refresh every 60 seconds</t>
        </is>
      </c>
      <c r="D22" s="28" t="inlineStr">
        <is>
          <t>Low</t>
        </is>
      </c>
      <c r="E22" s="17" t="inlineStr">
        <is>
          <t>Functional</t>
        </is>
      </c>
      <c r="F22" s="17" t="inlineStr">
        <is>
          <t>Dashboard open.</t>
        </is>
      </c>
      <c r="G22" s="17" t="inlineStr">
        <is>
          <t>Wait 60 seconds after data changes</t>
        </is>
      </c>
      <c r="H22" s="17" t="inlineStr">
        <is>
          <t>V1: No auto-refresh.</t>
        </is>
      </c>
      <c r="I22" s="17" t="inlineStr">
        <is>
          <t>V2: useEffect polling or WebSocket for live KPIs.</t>
        </is>
      </c>
      <c r="J22" s="17" t="inlineStr"/>
      <c r="K22" s="17" t="inlineStr"/>
      <c r="L22" s="17" t="inlineStr"/>
      <c r="M22" s="17" t="inlineStr"/>
      <c r="N22" s="17" t="inlineStr"/>
    </row>
    <row r="23" ht="55" customHeight="1">
      <c r="A23" s="7" t="inlineStr">
        <is>
          <t>SA-020</t>
        </is>
      </c>
      <c r="B23" s="7" t="inlineStr">
        <is>
          <t>UI</t>
        </is>
      </c>
      <c r="C23" s="7" t="inlineStr">
        <is>
          <t>InfoCard components display correct icons</t>
        </is>
      </c>
      <c r="D23" s="28" t="inlineStr">
        <is>
          <t>Low</t>
        </is>
      </c>
      <c r="E23" s="7" t="inlineStr">
        <is>
          <t>UI</t>
        </is>
      </c>
      <c r="F23" s="7" t="inlineStr">
        <is>
          <t>Dashboard loaded.</t>
        </is>
      </c>
      <c r="G23" s="7" t="inlineStr">
        <is>
          <t>View InfoCard components</t>
        </is>
      </c>
      <c r="H23" s="7" t="inlineStr">
        <is>
          <t>Icons may not render.</t>
        </is>
      </c>
      <c r="I23" s="7" t="inlineStr">
        <is>
          <t>SchoolIcon, DescriptionIcon, etc. all render correctly with correct color.</t>
        </is>
      </c>
      <c r="J23" s="7" t="inlineStr"/>
      <c r="K23" s="7" t="inlineStr"/>
      <c r="L23" s="7" t="inlineStr"/>
      <c r="M23" s="7" t="inlineStr"/>
      <c r="N23" s="7" t="inlineStr">
        <is>
          <t>Uses MUI icon components</t>
        </is>
      </c>
    </row>
    <row r="25">
      <c r="A25" s="32" t="inlineStr">
        <is>
          <t>TOTAL TEST CASES: 20</t>
        </is>
      </c>
      <c r="B25" s="22" t="n"/>
      <c r="C25" s="22" t="n"/>
      <c r="D25" s="22" t="n"/>
      <c r="E25" s="23">
        <f>COUNTIF(K4:K23,"✅ PASS")</f>
        <v/>
      </c>
      <c r="F25" s="24">
        <f>COUNTIF(K4:K23,"❌ FAIL")</f>
        <v/>
      </c>
      <c r="G25" s="22" t="inlineStr">
        <is>
          <t>V1 Pass%</t>
        </is>
      </c>
      <c r="H25" s="25">
        <f>IFERROR(E25/(20)*100,0)&amp;"%"</f>
        <v/>
      </c>
      <c r="I25" s="23">
        <f>COUNTIF(M4:M23,"✅ PASS")</f>
        <v/>
      </c>
      <c r="J25" s="24">
        <f>COUNTIF(M4:M23,"❌ FAIL")</f>
        <v/>
      </c>
      <c r="K25" s="22" t="inlineStr">
        <is>
          <t>V2 Pass%</t>
        </is>
      </c>
      <c r="L25" s="25">
        <f>IFERROR(I25/(20)*100,0)&amp;"%"</f>
        <v/>
      </c>
      <c r="M25" s="22" t="n"/>
      <c r="N25" s="22" t="n"/>
    </row>
  </sheetData>
  <mergeCells count="3">
    <mergeCell ref="A25:D25"/>
    <mergeCell ref="A2:N2"/>
    <mergeCell ref="A1:N1"/>
  </mergeCells>
  <dataValidations count="2">
    <dataValidation sqref="K4:K23" showDropDown="0" showInputMessage="0" showErrorMessage="0" allowBlank="0" type="list">
      <formula1>"✅ PASS,❌ FAIL,🔶 BLOCKED,⬜ NOT RUN,➡️ N/A"</formula1>
    </dataValidation>
    <dataValidation sqref="M4:M23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36" t="inlineStr">
        <is>
          <t>🧪  Notifications — In-App &amp; Email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37" t="inlineStr">
        <is>
          <t>Test ID</t>
        </is>
      </c>
      <c r="B3" s="37" t="inlineStr">
        <is>
          <t>Category</t>
        </is>
      </c>
      <c r="C3" s="37" t="inlineStr">
        <is>
          <t>Test Case Name</t>
        </is>
      </c>
      <c r="D3" s="37" t="inlineStr">
        <is>
          <t>Priority</t>
        </is>
      </c>
      <c r="E3" s="37" t="inlineStr">
        <is>
          <t>Type</t>
        </is>
      </c>
      <c r="F3" s="37" t="inlineStr">
        <is>
          <t>Pre-conditions</t>
        </is>
      </c>
      <c r="G3" s="37" t="inlineStr">
        <is>
          <t>Test Steps</t>
        </is>
      </c>
      <c r="H3" s="37" t="inlineStr">
        <is>
          <t>Expected Result (V1)</t>
        </is>
      </c>
      <c r="I3" s="37" t="inlineStr">
        <is>
          <t>Expected Result (V2)</t>
        </is>
      </c>
      <c r="J3" s="37" t="inlineStr">
        <is>
          <t>Actual Result (V1)</t>
        </is>
      </c>
      <c r="K3" s="37" t="inlineStr">
        <is>
          <t>Status V1</t>
        </is>
      </c>
      <c r="L3" s="37" t="inlineStr">
        <is>
          <t>Actual Result (V2)</t>
        </is>
      </c>
      <c r="M3" s="37" t="inlineStr">
        <is>
          <t>Status V2</t>
        </is>
      </c>
      <c r="N3" s="37" t="inlineStr">
        <is>
          <t>Notes / Defect ID</t>
        </is>
      </c>
    </row>
    <row r="4" ht="55" customHeight="1">
      <c r="A4" s="17" t="inlineStr">
        <is>
          <t>NOT-001</t>
        </is>
      </c>
      <c r="B4" s="17" t="inlineStr">
        <is>
          <t>In-App</t>
        </is>
      </c>
      <c r="C4" s="17" t="inlineStr">
        <is>
          <t>Notification bell shows unread count badge</t>
        </is>
      </c>
      <c r="D4" s="19" t="inlineStr">
        <is>
          <t>High</t>
        </is>
      </c>
      <c r="E4" s="17" t="inlineStr">
        <is>
          <t>Functional</t>
        </is>
      </c>
      <c r="F4" s="17" t="inlineStr">
        <is>
          <t>Unread notifications exist.</t>
        </is>
      </c>
      <c r="G4" s="17" t="inlineStr">
        <is>
          <t>Login as any role
View notification bell icon</t>
        </is>
      </c>
      <c r="H4" s="17" t="inlineStr">
        <is>
          <t>V1: No notification bell.</t>
        </is>
      </c>
      <c r="I4" s="17" t="inlineStr">
        <is>
          <t>V2: Badge with count. Red dot for unread.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NOT-002</t>
        </is>
      </c>
      <c r="B5" s="7" t="inlineStr">
        <is>
          <t>In-App</t>
        </is>
      </c>
      <c r="C5" s="7" t="inlineStr">
        <is>
          <t>Clicking bell opens notification panel</t>
        </is>
      </c>
      <c r="D5" s="19" t="inlineStr">
        <is>
          <t>High</t>
        </is>
      </c>
      <c r="E5" s="7" t="inlineStr">
        <is>
          <t>Functional</t>
        </is>
      </c>
      <c r="F5" s="7" t="inlineStr">
        <is>
          <t>Notifications exist.</t>
        </is>
      </c>
      <c r="G5" s="7" t="inlineStr">
        <is>
          <t>Click notification bell</t>
        </is>
      </c>
      <c r="H5" s="7" t="inlineStr">
        <is>
          <t>V1: N/A.</t>
        </is>
      </c>
      <c r="I5" s="7" t="inlineStr">
        <is>
          <t>Panel opens with list of notifications. Each shows: message, timestamp, action link.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NOT-003</t>
        </is>
      </c>
      <c r="B6" s="17" t="inlineStr">
        <is>
          <t>In-App</t>
        </is>
      </c>
      <c r="C6" s="17" t="inlineStr">
        <is>
          <t>Mark notification as read</t>
        </is>
      </c>
      <c r="D6" s="20" t="inlineStr">
        <is>
          <t>Medium</t>
        </is>
      </c>
      <c r="E6" s="17" t="inlineStr">
        <is>
          <t>Functional</t>
        </is>
      </c>
      <c r="F6" s="17" t="inlineStr">
        <is>
          <t>Unread notification.</t>
        </is>
      </c>
      <c r="G6" s="17" t="inlineStr">
        <is>
          <t>Click notification
It navigates to relevant page</t>
        </is>
      </c>
      <c r="H6" s="17" t="inlineStr">
        <is>
          <t>N/A.</t>
        </is>
      </c>
      <c r="I6" s="17" t="inlineStr">
        <is>
          <t>Notification marked as read. Badge count decreases.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NOT-004</t>
        </is>
      </c>
      <c r="B7" s="7" t="inlineStr">
        <is>
          <t>In-App</t>
        </is>
      </c>
      <c r="C7" s="7" t="inlineStr">
        <is>
          <t>Mark all notifications as read</t>
        </is>
      </c>
      <c r="D7" s="20" t="inlineStr">
        <is>
          <t>Medium</t>
        </is>
      </c>
      <c r="E7" s="7" t="inlineStr">
        <is>
          <t>Functional</t>
        </is>
      </c>
      <c r="F7" s="7" t="inlineStr">
        <is>
          <t>Multiple unread.</t>
        </is>
      </c>
      <c r="G7" s="7" t="inlineStr">
        <is>
          <t>Click Mark All Read</t>
        </is>
      </c>
      <c r="H7" s="7" t="inlineStr">
        <is>
          <t>N/A.</t>
        </is>
      </c>
      <c r="I7" s="7" t="inlineStr">
        <is>
          <t>All marked read. Badge disappears.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NOT-005</t>
        </is>
      </c>
      <c r="B8" s="17" t="inlineStr">
        <is>
          <t>Email</t>
        </is>
      </c>
      <c r="C8" s="17" t="inlineStr">
        <is>
          <t>Exam scheduled email reaches inbox</t>
        </is>
      </c>
      <c r="D8" s="18" t="inlineStr">
        <is>
          <t>Critical</t>
        </is>
      </c>
      <c r="E8" s="17" t="inlineStr">
        <is>
          <t>Integration</t>
        </is>
      </c>
      <c r="F8" s="17" t="inlineStr">
        <is>
          <t>Email service configured. SMTP working.</t>
        </is>
      </c>
      <c r="G8" s="17" t="inlineStr">
        <is>
          <t>Admin schedules exam
Check applicant email</t>
        </is>
      </c>
      <c r="H8" s="17" t="inlineStr">
        <is>
          <t>V1: No email system.</t>
        </is>
      </c>
      <c r="I8" s="17" t="inlineStr">
        <is>
          <t>V2: Email received within 60s. Correct from address. No spam.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NOT-006</t>
        </is>
      </c>
      <c r="B9" s="7" t="inlineStr">
        <is>
          <t>Email</t>
        </is>
      </c>
      <c r="C9" s="7" t="inlineStr">
        <is>
          <t>Welcome email on account creation</t>
        </is>
      </c>
      <c r="D9" s="19" t="inlineStr">
        <is>
          <t>High</t>
        </is>
      </c>
      <c r="E9" s="7" t="inlineStr">
        <is>
          <t>Integration</t>
        </is>
      </c>
      <c r="F9" s="7" t="inlineStr">
        <is>
          <t>New user registered.</t>
        </is>
      </c>
      <c r="G9" s="7" t="inlineStr">
        <is>
          <t>Register new applicant
Check email</t>
        </is>
      </c>
      <c r="H9" s="7" t="inlineStr">
        <is>
          <t>V1: No email.</t>
        </is>
      </c>
      <c r="I9" s="7" t="inlineStr">
        <is>
          <t>V2: Welcome email with login instructions.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NOT-007</t>
        </is>
      </c>
      <c r="B10" s="17" t="inlineStr">
        <is>
          <t>Email</t>
        </is>
      </c>
      <c r="C10" s="17" t="inlineStr">
        <is>
          <t>Email not sent for silent system actions</t>
        </is>
      </c>
      <c r="D10" s="20" t="inlineStr">
        <is>
          <t>Medium</t>
        </is>
      </c>
      <c r="E10" s="17" t="inlineStr">
        <is>
          <t>Functional</t>
        </is>
      </c>
      <c r="F10" s="17" t="inlineStr">
        <is>
          <t>Background job runs.</t>
        </is>
      </c>
      <c r="G10" s="17" t="inlineStr">
        <is>
          <t>Auto-absent runs
Check email</t>
        </is>
      </c>
      <c r="H10" s="17" t="inlineStr">
        <is>
          <t>N/A.</t>
        </is>
      </c>
      <c r="I10" s="17" t="inlineStr">
        <is>
          <t>V2: Only in-app notification for auto-absent, not email (to avoid spam).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NOT-008</t>
        </is>
      </c>
      <c r="B11" s="7" t="inlineStr">
        <is>
          <t>Privacy</t>
        </is>
      </c>
      <c r="C11" s="7" t="inlineStr">
        <is>
          <t>User only sees own notifications</t>
        </is>
      </c>
      <c r="D11" s="18" t="inlineStr">
        <is>
          <t>Critical</t>
        </is>
      </c>
      <c r="E11" s="7" t="inlineStr">
        <is>
          <t>Security</t>
        </is>
      </c>
      <c r="F11" s="7" t="inlineStr">
        <is>
          <t>Two users with notifications.</t>
        </is>
      </c>
      <c r="G11" s="7" t="inlineStr">
        <is>
          <t>Login as User A
GET /api/notifications</t>
        </is>
      </c>
      <c r="H11" s="7" t="inlineStr">
        <is>
          <t>V1 BUG: May return all notifications.</t>
        </is>
      </c>
      <c r="I11" s="7" t="inlineStr">
        <is>
          <t>V2 FIX: Only User A notifications returned.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NOT-009</t>
        </is>
      </c>
      <c r="B12" s="17" t="inlineStr">
        <is>
          <t>Navigation</t>
        </is>
      </c>
      <c r="C12" s="17" t="inlineStr">
        <is>
          <t>Notification links to correct page</t>
        </is>
      </c>
      <c r="D12" s="19" t="inlineStr">
        <is>
          <t>High</t>
        </is>
      </c>
      <c r="E12" s="17" t="inlineStr">
        <is>
          <t>Functional</t>
        </is>
      </c>
      <c r="F12" s="17" t="inlineStr">
        <is>
          <t>Notification with action link.</t>
        </is>
      </c>
      <c r="G12" s="17" t="inlineStr">
        <is>
          <t>Click notification</t>
        </is>
      </c>
      <c r="H12" s="17" t="inlineStr">
        <is>
          <t>N/A.</t>
        </is>
      </c>
      <c r="I12" s="17" t="inlineStr">
        <is>
          <t>Navigates to relevant page (e.g., /applicant/dashboard for admission stages).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NOT-010</t>
        </is>
      </c>
      <c r="B13" s="7" t="inlineStr">
        <is>
          <t>Pagination</t>
        </is>
      </c>
      <c r="C13" s="7" t="inlineStr">
        <is>
          <t>Old notifications paginated</t>
        </is>
      </c>
      <c r="D13" s="28" t="inlineStr">
        <is>
          <t>Low</t>
        </is>
      </c>
      <c r="E13" s="7" t="inlineStr">
        <is>
          <t>Functional</t>
        </is>
      </c>
      <c r="F13" s="7" t="inlineStr">
        <is>
          <t>50+ notifications.</t>
        </is>
      </c>
      <c r="G13" s="7" t="inlineStr">
        <is>
          <t>Scroll notification panel</t>
        </is>
      </c>
      <c r="H13" s="7" t="inlineStr">
        <is>
          <t>N/A.</t>
        </is>
      </c>
      <c r="I13" s="7" t="inlineStr">
        <is>
          <t>Infinite scroll or Load More. Max 20 per page.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NOT-011</t>
        </is>
      </c>
      <c r="B14" s="17" t="inlineStr">
        <is>
          <t>Email Template</t>
        </is>
      </c>
      <c r="C14" s="17" t="inlineStr">
        <is>
          <t>Email templates correctly formatted</t>
        </is>
      </c>
      <c r="D14" s="20" t="inlineStr">
        <is>
          <t>Medium</t>
        </is>
      </c>
      <c r="E14" s="17" t="inlineStr">
        <is>
          <t>Functional</t>
        </is>
      </c>
      <c r="F14" s="17" t="inlineStr">
        <is>
          <t>Email sent.</t>
        </is>
      </c>
      <c r="G14" s="17" t="inlineStr">
        <is>
          <t>Open received email on mobile and desktop</t>
        </is>
      </c>
      <c r="H14" s="17" t="inlineStr">
        <is>
          <t>N/A.</t>
        </is>
      </c>
      <c r="I14" s="17" t="inlineStr">
        <is>
          <t>HTML email renders correctly. School logo visible. No broken tags.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NOT-012</t>
        </is>
      </c>
      <c r="B15" s="7" t="inlineStr">
        <is>
          <t>Retry</t>
        </is>
      </c>
      <c r="C15" s="7" t="inlineStr">
        <is>
          <t>Failed email retried automatically</t>
        </is>
      </c>
      <c r="D15" s="20" t="inlineStr">
        <is>
          <t>Medium</t>
        </is>
      </c>
      <c r="E15" s="7" t="inlineStr">
        <is>
          <t>Resilience</t>
        </is>
      </c>
      <c r="F15" s="7" t="inlineStr">
        <is>
          <t>SMTP temporarily unavailable.</t>
        </is>
      </c>
      <c r="G15" s="7" t="inlineStr">
        <is>
          <t>Trigger email
Simulate SMTP failure
Restore SMTP</t>
        </is>
      </c>
      <c r="H15" s="7" t="inlineStr">
        <is>
          <t>N/A.</t>
        </is>
      </c>
      <c r="I15" s="7" t="inlineStr">
        <is>
          <t>V2: Email queued. Retried 3x with backoff. Logged on permanent failure.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NOT-013</t>
        </is>
      </c>
      <c r="B16" s="17" t="inlineStr">
        <is>
          <t>Rate Limiting</t>
        </is>
      </c>
      <c r="C16" s="17" t="inlineStr">
        <is>
          <t>Email rate limiting prevents spam</t>
        </is>
      </c>
      <c r="D16" s="20" t="inlineStr">
        <is>
          <t>Medium</t>
        </is>
      </c>
      <c r="E16" s="17" t="inlineStr">
        <is>
          <t>Security</t>
        </is>
      </c>
      <c r="F16" s="17" t="inlineStr">
        <is>
          <t>Many rapid state changes.</t>
        </is>
      </c>
      <c r="G16" s="17" t="inlineStr">
        <is>
          <t>Trigger 100 state changes rapidly</t>
        </is>
      </c>
      <c r="H16" s="17" t="inlineStr">
        <is>
          <t>100 emails sent.</t>
        </is>
      </c>
      <c r="I16" s="17" t="inlineStr">
        <is>
          <t>V2: Rate limited. Batch digest or throttle applied.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NOT-014</t>
        </is>
      </c>
      <c r="B17" s="7" t="inlineStr">
        <is>
          <t>Empty</t>
        </is>
      </c>
      <c r="C17" s="7" t="inlineStr">
        <is>
          <t>Empty state when no notifications</t>
        </is>
      </c>
      <c r="D17" s="28" t="inlineStr">
        <is>
          <t>Low</t>
        </is>
      </c>
      <c r="E17" s="7" t="inlineStr">
        <is>
          <t>UI</t>
        </is>
      </c>
      <c r="F17" s="7" t="inlineStr">
        <is>
          <t>New user. No notifications.</t>
        </is>
      </c>
      <c r="G17" s="7" t="inlineStr">
        <is>
          <t>Open notification panel</t>
        </is>
      </c>
      <c r="H17" s="7" t="inlineStr">
        <is>
          <t>N/A.</t>
        </is>
      </c>
      <c r="I17" s="7" t="inlineStr">
        <is>
          <t>Empty state: No notifications yet.</t>
        </is>
      </c>
      <c r="J17" s="7" t="inlineStr"/>
      <c r="K17" s="7" t="inlineStr"/>
      <c r="L17" s="7" t="inlineStr"/>
      <c r="M17" s="7" t="inlineStr"/>
      <c r="N17" s="7" t="inlineStr"/>
    </row>
    <row r="19">
      <c r="A19" s="38" t="inlineStr">
        <is>
          <t>TOTAL TEST CASES: 14</t>
        </is>
      </c>
      <c r="B19" s="22" t="n"/>
      <c r="C19" s="22" t="n"/>
      <c r="D19" s="22" t="n"/>
      <c r="E19" s="23">
        <f>COUNTIF(K4:K17,"✅ PASS")</f>
        <v/>
      </c>
      <c r="F19" s="24">
        <f>COUNTIF(K4:K17,"❌ FAIL")</f>
        <v/>
      </c>
      <c r="G19" s="22" t="inlineStr">
        <is>
          <t>V1 Pass%</t>
        </is>
      </c>
      <c r="H19" s="25">
        <f>IFERROR(E19/(14)*100,0)&amp;"%"</f>
        <v/>
      </c>
      <c r="I19" s="23">
        <f>COUNTIF(M4:M17,"✅ PASS")</f>
        <v/>
      </c>
      <c r="J19" s="24">
        <f>COUNTIF(M4:M17,"❌ FAIL")</f>
        <v/>
      </c>
      <c r="K19" s="22" t="inlineStr">
        <is>
          <t>V2 Pass%</t>
        </is>
      </c>
      <c r="L19" s="25">
        <f>IFERROR(I19/(14)*100,0)&amp;"%"</f>
        <v/>
      </c>
      <c r="M19" s="22" t="n"/>
      <c r="N19" s="22" t="n"/>
    </row>
  </sheetData>
  <mergeCells count="3">
    <mergeCell ref="A2:N2"/>
    <mergeCell ref="A19:D19"/>
    <mergeCell ref="A1:N1"/>
  </mergeCells>
  <dataValidations count="2">
    <dataValidation sqref="K4:K17" showDropDown="0" showInputMessage="0" showErrorMessage="0" allowBlank="0" type="list">
      <formula1>"✅ PASS,❌ FAIL,🔶 BLOCKED,⬜ NOT RUN,➡️ N/A"</formula1>
    </dataValidation>
    <dataValidation sqref="M4:M17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41" t="inlineStr">
        <is>
          <t>🧪  Security &amp; Auth Edge Cases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42" t="inlineStr">
        <is>
          <t>Test ID</t>
        </is>
      </c>
      <c r="B3" s="42" t="inlineStr">
        <is>
          <t>Category</t>
        </is>
      </c>
      <c r="C3" s="42" t="inlineStr">
        <is>
          <t>Test Case Name</t>
        </is>
      </c>
      <c r="D3" s="42" t="inlineStr">
        <is>
          <t>Priority</t>
        </is>
      </c>
      <c r="E3" s="42" t="inlineStr">
        <is>
          <t>Type</t>
        </is>
      </c>
      <c r="F3" s="42" t="inlineStr">
        <is>
          <t>Pre-conditions</t>
        </is>
      </c>
      <c r="G3" s="42" t="inlineStr">
        <is>
          <t>Test Steps</t>
        </is>
      </c>
      <c r="H3" s="42" t="inlineStr">
        <is>
          <t>Expected Result (V1)</t>
        </is>
      </c>
      <c r="I3" s="42" t="inlineStr">
        <is>
          <t>Expected Result (V2)</t>
        </is>
      </c>
      <c r="J3" s="42" t="inlineStr">
        <is>
          <t>Actual Result (V1)</t>
        </is>
      </c>
      <c r="K3" s="42" t="inlineStr">
        <is>
          <t>Status V1</t>
        </is>
      </c>
      <c r="L3" s="42" t="inlineStr">
        <is>
          <t>Actual Result (V2)</t>
        </is>
      </c>
      <c r="M3" s="42" t="inlineStr">
        <is>
          <t>Status V2</t>
        </is>
      </c>
      <c r="N3" s="42" t="inlineStr">
        <is>
          <t>Notes / Defect ID</t>
        </is>
      </c>
    </row>
    <row r="4" ht="55" customHeight="1">
      <c r="A4" s="17" t="inlineStr">
        <is>
          <t>SEC-001</t>
        </is>
      </c>
      <c r="B4" s="17" t="inlineStr">
        <is>
          <t>XSS</t>
        </is>
      </c>
      <c r="C4" s="17" t="inlineStr">
        <is>
          <t>XSS injection in student name field blocked</t>
        </is>
      </c>
      <c r="D4" s="18" t="inlineStr">
        <is>
          <t>Critical</t>
        </is>
      </c>
      <c r="E4" s="17" t="inlineStr">
        <is>
          <t>Security</t>
        </is>
      </c>
      <c r="F4" s="17" t="inlineStr">
        <is>
          <t>Registration form.</t>
        </is>
      </c>
      <c r="G4" s="17" t="inlineStr">
        <is>
          <t>Enter &lt;script&gt;alert(1)&lt;/script&gt; as name
Save and view profile</t>
        </is>
      </c>
      <c r="H4" s="17" t="inlineStr">
        <is>
          <t>V1 BUG: Script may execute on render.</t>
        </is>
      </c>
      <c r="I4" s="17" t="inlineStr">
        <is>
          <t>V2 FIX: Input sanitized. Script not executed. Stored as escaped text.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SEC-002</t>
        </is>
      </c>
      <c r="B5" s="7" t="inlineStr">
        <is>
          <t>XSS</t>
        </is>
      </c>
      <c r="C5" s="7" t="inlineStr">
        <is>
          <t>XSS in complaint description blocked</t>
        </is>
      </c>
      <c r="D5" s="18" t="inlineStr">
        <is>
          <t>Critical</t>
        </is>
      </c>
      <c r="E5" s="7" t="inlineStr">
        <is>
          <t>Security</t>
        </is>
      </c>
      <c r="F5" s="7" t="inlineStr">
        <is>
          <t>Complaint creation form.</t>
        </is>
      </c>
      <c r="G5" s="7" t="inlineStr">
        <is>
          <t>Enter &lt;img src=x onerror=alert(1)&gt; in description</t>
        </is>
      </c>
      <c r="H5" s="7" t="inlineStr">
        <is>
          <t>V1 BUG: May execute in chat UI.</t>
        </is>
      </c>
      <c r="I5" s="7" t="inlineStr">
        <is>
          <t>V2 FIX: Sanitized. No script execution.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SEC-003</t>
        </is>
      </c>
      <c r="B6" s="17" t="inlineStr">
        <is>
          <t>SQL Injection</t>
        </is>
      </c>
      <c r="C6" s="17" t="inlineStr">
        <is>
          <t>SQL injection in search field blocked</t>
        </is>
      </c>
      <c r="D6" s="18" t="inlineStr">
        <is>
          <t>Critical</t>
        </is>
      </c>
      <c r="E6" s="17" t="inlineStr">
        <is>
          <t>Security</t>
        </is>
      </c>
      <c r="F6" s="17" t="inlineStr">
        <is>
          <t>Search input on any page.</t>
        </is>
      </c>
      <c r="G6" s="17" t="inlineStr">
        <is>
          <t>Enter ' OR 1=1-- in search field</t>
        </is>
      </c>
      <c r="H6" s="17" t="inlineStr">
        <is>
          <t>V1: Prisma ORM parameterizes queries. Should be safe.</t>
        </is>
      </c>
      <c r="I6" s="17" t="inlineStr">
        <is>
          <t>V2: Confirmed safe. Prisma parameterization validated.</t>
        </is>
      </c>
      <c r="J6" s="17" t="inlineStr"/>
      <c r="K6" s="17" t="inlineStr"/>
      <c r="L6" s="17" t="inlineStr"/>
      <c r="M6" s="17" t="inlineStr"/>
      <c r="N6" s="17" t="inlineStr">
        <is>
          <t>Prisma ORM provides protection</t>
        </is>
      </c>
    </row>
    <row r="7" ht="55" customHeight="1">
      <c r="A7" s="7" t="inlineStr">
        <is>
          <t>SEC-004</t>
        </is>
      </c>
      <c r="B7" s="7" t="inlineStr">
        <is>
          <t>CSRF</t>
        </is>
      </c>
      <c r="C7" s="7" t="inlineStr">
        <is>
          <t>CSRF token required for state-changing requests</t>
        </is>
      </c>
      <c r="D7" s="19" t="inlineStr">
        <is>
          <t>High</t>
        </is>
      </c>
      <c r="E7" s="7" t="inlineStr">
        <is>
          <t>Security</t>
        </is>
      </c>
      <c r="F7" s="7" t="inlineStr">
        <is>
          <t>Authenticated user.</t>
        </is>
      </c>
      <c r="G7" s="7" t="inlineStr">
        <is>
          <t>Make POST request from different origin without CSRF token</t>
        </is>
      </c>
      <c r="H7" s="7" t="inlineStr">
        <is>
          <t>V1 BUG: CSRF protection may be missing.</t>
        </is>
      </c>
      <c r="I7" s="7" t="inlineStr">
        <is>
          <t>V2 FIX: CSRF token validated. 403 on missing token.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SEC-005</t>
        </is>
      </c>
      <c r="B8" s="17" t="inlineStr">
        <is>
          <t>Rate Limiting</t>
        </is>
      </c>
      <c r="C8" s="17" t="inlineStr">
        <is>
          <t>Login endpoint rate limited after 5 failures</t>
        </is>
      </c>
      <c r="D8" s="18" t="inlineStr">
        <is>
          <t>Critical</t>
        </is>
      </c>
      <c r="E8" s="17" t="inlineStr">
        <is>
          <t>Security</t>
        </is>
      </c>
      <c r="F8" s="17" t="inlineStr">
        <is>
          <t>Valid login endpoint.</t>
        </is>
      </c>
      <c r="G8" s="17" t="inlineStr">
        <is>
          <t>Send 10 rapid failed login attempts</t>
        </is>
      </c>
      <c r="H8" s="17" t="inlineStr">
        <is>
          <t>V1 BUG: No rate limiting. Brute force possible.</t>
        </is>
      </c>
      <c r="I8" s="17" t="inlineStr">
        <is>
          <t>V2 FIX: After 5 failures, 15-minute lockout. 429 Too Many Requests.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SEC-006</t>
        </is>
      </c>
      <c r="B9" s="7" t="inlineStr">
        <is>
          <t>Rate Limiting</t>
        </is>
      </c>
      <c r="C9" s="7" t="inlineStr">
        <is>
          <t>API endpoints rate limited per user</t>
        </is>
      </c>
      <c r="D9" s="19" t="inlineStr">
        <is>
          <t>High</t>
        </is>
      </c>
      <c r="E9" s="7" t="inlineStr">
        <is>
          <t>Security</t>
        </is>
      </c>
      <c r="F9" s="7" t="inlineStr">
        <is>
          <t>Authenticated user.</t>
        </is>
      </c>
      <c r="G9" s="7" t="inlineStr">
        <is>
          <t>Send 200 API requests in 10 seconds</t>
        </is>
      </c>
      <c r="H9" s="7" t="inlineStr">
        <is>
          <t>V1: No rate limit.</t>
        </is>
      </c>
      <c r="I9" s="7" t="inlineStr">
        <is>
          <t>V2: 100 req/min limit. 429 returned when exceeded.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SEC-007</t>
        </is>
      </c>
      <c r="B10" s="17" t="inlineStr">
        <is>
          <t>IDOR</t>
        </is>
      </c>
      <c r="C10" s="17" t="inlineStr">
        <is>
          <t>IDOR: Student cannot access another student profile</t>
        </is>
      </c>
      <c r="D10" s="18" t="inlineStr">
        <is>
          <t>Critical</t>
        </is>
      </c>
      <c r="E10" s="17" t="inlineStr">
        <is>
          <t>Security</t>
        </is>
      </c>
      <c r="F10" s="17" t="inlineStr">
        <is>
          <t>Student A and B exist.</t>
        </is>
      </c>
      <c r="G10" s="17" t="inlineStr">
        <is>
          <t>GET /api/students/[StudentB_ID] with Student A JWT</t>
        </is>
      </c>
      <c r="H10" s="17" t="inlineStr">
        <is>
          <t>V1 BUG: May return Student B data.</t>
        </is>
      </c>
      <c r="I10" s="17" t="inlineStr">
        <is>
          <t>V2 FIX: 403 Forbidden. Own data only.</t>
        </is>
      </c>
      <c r="J10" s="17" t="inlineStr"/>
      <c r="K10" s="17" t="inlineStr"/>
      <c r="L10" s="17" t="inlineStr"/>
      <c r="M10" s="17" t="inlineStr"/>
      <c r="N10" s="17" t="inlineStr">
        <is>
          <t>Insecure Direct Object Reference</t>
        </is>
      </c>
    </row>
    <row r="11" ht="55" customHeight="1">
      <c r="A11" s="7" t="inlineStr">
        <is>
          <t>SEC-008</t>
        </is>
      </c>
      <c r="B11" s="7" t="inlineStr">
        <is>
          <t>IDOR</t>
        </is>
      </c>
      <c r="C11" s="7" t="inlineStr">
        <is>
          <t>IDOR: Staff cannot access other departments data</t>
        </is>
      </c>
      <c r="D11" s="18" t="inlineStr">
        <is>
          <t>Critical</t>
        </is>
      </c>
      <c r="E11" s="7" t="inlineStr">
        <is>
          <t>Security</t>
        </is>
      </c>
      <c r="F11" s="7" t="inlineStr">
        <is>
          <t>Staff A (Dept 1), Dept 2 exists.</t>
        </is>
      </c>
      <c r="G11" s="7" t="inlineStr">
        <is>
          <t>GET /api/students?deptId=[Dept2_ID] with Dept 1 staff JWT</t>
        </is>
      </c>
      <c r="H11" s="7" t="inlineStr">
        <is>
          <t>V1 BUG: Cross-dept data returned.</t>
        </is>
      </c>
      <c r="I11" s="7" t="inlineStr">
        <is>
          <t>V2 FIX: Dept-scoped. Empty result or 403.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SEC-009</t>
        </is>
      </c>
      <c r="B12" s="17" t="inlineStr">
        <is>
          <t>Header Security</t>
        </is>
      </c>
      <c r="C12" s="17" t="inlineStr">
        <is>
          <t>Security headers set on responses</t>
        </is>
      </c>
      <c r="D12" s="19" t="inlineStr">
        <is>
          <t>High</t>
        </is>
      </c>
      <c r="E12" s="17" t="inlineStr">
        <is>
          <t>Security</t>
        </is>
      </c>
      <c r="F12" s="17" t="inlineStr">
        <is>
          <t>API running.</t>
        </is>
      </c>
      <c r="G12" s="17" t="inlineStr">
        <is>
          <t>Check response headers: X-Content-Type-Options, X-Frame-Options, CSP</t>
        </is>
      </c>
      <c r="H12" s="17" t="inlineStr">
        <is>
          <t>V1 BUG: Security headers may be missing.</t>
        </is>
      </c>
      <c r="I12" s="17" t="inlineStr">
        <is>
          <t>V2 FIX: Helmet.js applied. All security headers present.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SEC-010</t>
        </is>
      </c>
      <c r="B13" s="7" t="inlineStr">
        <is>
          <t>File Upload</t>
        </is>
      </c>
      <c r="C13" s="7" t="inlineStr">
        <is>
          <t>Malicious file upload blocked</t>
        </is>
      </c>
      <c r="D13" s="18" t="inlineStr">
        <is>
          <t>Critical</t>
        </is>
      </c>
      <c r="E13" s="7" t="inlineStr">
        <is>
          <t>Security</t>
        </is>
      </c>
      <c r="F13" s="7" t="inlineStr">
        <is>
          <t>Document upload endpoint.</t>
        </is>
      </c>
      <c r="G13" s="7" t="inlineStr">
        <is>
          <t>Upload PHP/EXE/JS file disguised with PDF extension</t>
        </is>
      </c>
      <c r="H13" s="7" t="inlineStr">
        <is>
          <t>V1 BUG: MIME type not validated. File stored.</t>
        </is>
      </c>
      <c r="I13" s="7" t="inlineStr">
        <is>
          <t>V2 FIX: MIME validation. Malicious file rejected.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SEC-011</t>
        </is>
      </c>
      <c r="B14" s="17" t="inlineStr">
        <is>
          <t>Credentials</t>
        </is>
      </c>
      <c r="C14" s="17" t="inlineStr">
        <is>
          <t>Passwords not logged or exposed</t>
        </is>
      </c>
      <c r="D14" s="18" t="inlineStr">
        <is>
          <t>Critical</t>
        </is>
      </c>
      <c r="E14" s="17" t="inlineStr">
        <is>
          <t>Security</t>
        </is>
      </c>
      <c r="F14" s="17" t="inlineStr">
        <is>
          <t>Winston logger configured.</t>
        </is>
      </c>
      <c r="G14" s="17" t="inlineStr">
        <is>
          <t>Review server logs after login request</t>
        </is>
      </c>
      <c r="H14" s="17" t="inlineStr">
        <is>
          <t>V1 RISK: Password may appear in logs.</t>
        </is>
      </c>
      <c r="I14" s="17" t="inlineStr">
        <is>
          <t>V2: Password field stripped from logs.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SEC-012</t>
        </is>
      </c>
      <c r="B15" s="7" t="inlineStr">
        <is>
          <t>HTTPS</t>
        </is>
      </c>
      <c r="C15" s="7" t="inlineStr">
        <is>
          <t>Sensitive data transmitted over HTTPS only</t>
        </is>
      </c>
      <c r="D15" s="19" t="inlineStr">
        <is>
          <t>High</t>
        </is>
      </c>
      <c r="E15" s="7" t="inlineStr">
        <is>
          <t>Security</t>
        </is>
      </c>
      <c r="F15" s="7" t="inlineStr">
        <is>
          <t>Production environment.</t>
        </is>
      </c>
      <c r="G15" s="7" t="inlineStr">
        <is>
          <t>Attempt to make HTTP request to API</t>
        </is>
      </c>
      <c r="H15" s="7" t="inlineStr">
        <is>
          <t>HTTP allowed in dev. No HTTPS enforcement.</t>
        </is>
      </c>
      <c r="I15" s="7" t="inlineStr">
        <is>
          <t>V2 Production: HTTP redirects to HTTPS. HSTS header set.</t>
        </is>
      </c>
      <c r="J15" s="7" t="inlineStr"/>
      <c r="K15" s="7" t="inlineStr"/>
      <c r="L15" s="7" t="inlineStr"/>
      <c r="M15" s="7" t="inlineStr"/>
      <c r="N15" s="7" t="inlineStr"/>
    </row>
    <row r="16" ht="55" customHeight="1">
      <c r="A16" s="17" t="inlineStr">
        <is>
          <t>SEC-013</t>
        </is>
      </c>
      <c r="B16" s="17" t="inlineStr">
        <is>
          <t>Session Fixation</t>
        </is>
      </c>
      <c r="C16" s="17" t="inlineStr">
        <is>
          <t>JWT regenerated on role change</t>
        </is>
      </c>
      <c r="D16" s="19" t="inlineStr">
        <is>
          <t>High</t>
        </is>
      </c>
      <c r="E16" s="17" t="inlineStr">
        <is>
          <t>Security</t>
        </is>
      </c>
      <c r="F16" s="17" t="inlineStr">
        <is>
          <t>Applicant accepted (role changes to STUDENT).</t>
        </is>
      </c>
      <c r="G16" s="17" t="inlineStr">
        <is>
          <t>Check JWT after acceptance</t>
        </is>
      </c>
      <c r="H16" s="17" t="inlineStr">
        <is>
          <t>V1 BUG: Old APPLICANT JWT may still work.</t>
        </is>
      </c>
      <c r="I16" s="17" t="inlineStr">
        <is>
          <t>V2 FIX: New JWT issued with STUDENT role. Old token invalidated.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SEC-014</t>
        </is>
      </c>
      <c r="B17" s="7" t="inlineStr">
        <is>
          <t>Error Handling</t>
        </is>
      </c>
      <c r="C17" s="7" t="inlineStr">
        <is>
          <t>Stack traces not exposed in production errors</t>
        </is>
      </c>
      <c r="D17" s="19" t="inlineStr">
        <is>
          <t>High</t>
        </is>
      </c>
      <c r="E17" s="7" t="inlineStr">
        <is>
          <t>Security</t>
        </is>
      </c>
      <c r="F17" s="7" t="inlineStr">
        <is>
          <t>Production-mode server.</t>
        </is>
      </c>
      <c r="G17" s="7" t="inlineStr">
        <is>
          <t>Trigger a 500 error
Check response body</t>
        </is>
      </c>
      <c r="H17" s="7" t="inlineStr">
        <is>
          <t>V1 BUG: Full stack trace returned.</t>
        </is>
      </c>
      <c r="I17" s="7" t="inlineStr">
        <is>
          <t>V2 FIX: Generic error message only. Stack trace in server logs only.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SEC-015</t>
        </is>
      </c>
      <c r="B18" s="17" t="inlineStr">
        <is>
          <t>JWT Secret</t>
        </is>
      </c>
      <c r="C18" s="17" t="inlineStr">
        <is>
          <t>JWT signed with strong secret (256-bit+)</t>
        </is>
      </c>
      <c r="D18" s="18" t="inlineStr">
        <is>
          <t>Critical</t>
        </is>
      </c>
      <c r="E18" s="17" t="inlineStr">
        <is>
          <t>Security</t>
        </is>
      </c>
      <c r="F18" s="17" t="inlineStr">
        <is>
          <t>Backend .env file.</t>
        </is>
      </c>
      <c r="G18" s="17" t="inlineStr">
        <is>
          <t>Check JWT_SECRET in .env
Verify key length</t>
        </is>
      </c>
      <c r="H18" s="17" t="inlineStr">
        <is>
          <t>V1: May use weak or default secret.</t>
        </is>
      </c>
      <c r="I18" s="17" t="inlineStr">
        <is>
          <t>V2: Minimum 256-bit random secret required.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SEC-016</t>
        </is>
      </c>
      <c r="B19" s="7" t="inlineStr">
        <is>
          <t>bcrypt</t>
        </is>
      </c>
      <c r="C19" s="7" t="inlineStr">
        <is>
          <t>bcrypt work factor is 10 or higher</t>
        </is>
      </c>
      <c r="D19" s="19" t="inlineStr">
        <is>
          <t>High</t>
        </is>
      </c>
      <c r="E19" s="7" t="inlineStr">
        <is>
          <t>Security</t>
        </is>
      </c>
      <c r="F19" s="7" t="inlineStr">
        <is>
          <t>User creation code.</t>
        </is>
      </c>
      <c r="G19" s="7" t="inlineStr">
        <is>
          <t>Review bcrypt.hash call in code
Verify rounds parameter</t>
        </is>
      </c>
      <c r="H19" s="7" t="inlineStr">
        <is>
          <t>V1: May use saltRounds=8.</t>
        </is>
      </c>
      <c r="I19" s="7" t="inlineStr">
        <is>
          <t>V2: saltRounds=12 for better security.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SEC-017</t>
        </is>
      </c>
      <c r="B20" s="17" t="inlineStr">
        <is>
          <t>Audit Security</t>
        </is>
      </c>
      <c r="C20" s="17" t="inlineStr">
        <is>
          <t>Audit log cannot be modified via API</t>
        </is>
      </c>
      <c r="D20" s="18" t="inlineStr">
        <is>
          <t>Critical</t>
        </is>
      </c>
      <c r="E20" s="17" t="inlineStr">
        <is>
          <t>Security</t>
        </is>
      </c>
      <c r="F20" s="17" t="inlineStr">
        <is>
          <t>AuditLog records exist.</t>
        </is>
      </c>
      <c r="G20" s="17" t="inlineStr">
        <is>
          <t>Attempt PUT /api/audit-logs/{id} or DELETE /api/audit-logs/{id}</t>
        </is>
      </c>
      <c r="H20" s="17" t="inlineStr">
        <is>
          <t>405 Method Not Allowed.</t>
        </is>
      </c>
      <c r="I20" s="17" t="inlineStr">
        <is>
          <t>Same. Immutability guaranteed.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SEC-018</t>
        </is>
      </c>
      <c r="B21" s="7" t="inlineStr">
        <is>
          <t>Mass Assignment</t>
        </is>
      </c>
      <c r="C21" s="7" t="inlineStr">
        <is>
          <t>Mass assignment attack blocked on user update</t>
        </is>
      </c>
      <c r="D21" s="19" t="inlineStr">
        <is>
          <t>High</t>
        </is>
      </c>
      <c r="E21" s="7" t="inlineStr">
        <is>
          <t>Security</t>
        </is>
      </c>
      <c r="F21" s="7" t="inlineStr">
        <is>
          <t>Any authenticated user.</t>
        </is>
      </c>
      <c r="G21" s="7" t="inlineStr">
        <is>
          <t>PUT /api/users/me with body {role: "SUPER_ADMIN"}</t>
        </is>
      </c>
      <c r="H21" s="7" t="inlineStr">
        <is>
          <t>V1 BUG: Role field may be updated.</t>
        </is>
      </c>
      <c r="I21" s="7" t="inlineStr">
        <is>
          <t>V2 FIX: Role field stripped from update payload. Ignored.</t>
        </is>
      </c>
      <c r="J21" s="7" t="inlineStr"/>
      <c r="K21" s="7" t="inlineStr"/>
      <c r="L21" s="7" t="inlineStr"/>
      <c r="M21" s="7" t="inlineStr"/>
      <c r="N21" s="7" t="inlineStr"/>
    </row>
    <row r="22" ht="55" customHeight="1">
      <c r="A22" s="17" t="inlineStr">
        <is>
          <t>SEC-019</t>
        </is>
      </c>
      <c r="B22" s="17" t="inlineStr">
        <is>
          <t>Dependency</t>
        </is>
      </c>
      <c r="C22" s="17" t="inlineStr">
        <is>
          <t>No critical CVEs in npm dependencies</t>
        </is>
      </c>
      <c r="D22" s="19" t="inlineStr">
        <is>
          <t>High</t>
        </is>
      </c>
      <c r="E22" s="17" t="inlineStr">
        <is>
          <t>Security</t>
        </is>
      </c>
      <c r="F22" s="17" t="inlineStr">
        <is>
          <t>package.json available.</t>
        </is>
      </c>
      <c r="G22" s="17" t="inlineStr">
        <is>
          <t>Run npm audit</t>
        </is>
      </c>
      <c r="H22" s="17" t="inlineStr">
        <is>
          <t>V1: May have critical vulnerabilities.</t>
        </is>
      </c>
      <c r="I22" s="17" t="inlineStr">
        <is>
          <t>V2: 0 critical CVEs. All high CVEs reviewed.</t>
        </is>
      </c>
      <c r="J22" s="17" t="inlineStr"/>
      <c r="K22" s="17" t="inlineStr"/>
      <c r="L22" s="17" t="inlineStr"/>
      <c r="M22" s="17" t="inlineStr"/>
      <c r="N22" s="17" t="inlineStr"/>
    </row>
    <row r="23" ht="55" customHeight="1">
      <c r="A23" s="7" t="inlineStr">
        <is>
          <t>SEC-020</t>
        </is>
      </c>
      <c r="B23" s="7" t="inlineStr">
        <is>
          <t>Cookie</t>
        </is>
      </c>
      <c r="C23" s="7" t="inlineStr">
        <is>
          <t>If cookies used: HttpOnly and Secure flags set</t>
        </is>
      </c>
      <c r="D23" s="19" t="inlineStr">
        <is>
          <t>High</t>
        </is>
      </c>
      <c r="E23" s="7" t="inlineStr">
        <is>
          <t>Security</t>
        </is>
      </c>
      <c r="F23" s="7" t="inlineStr">
        <is>
          <t>JWT stored in cookie (if applicable).</t>
        </is>
      </c>
      <c r="G23" s="7" t="inlineStr">
        <is>
          <t>Inspect Set-Cookie header</t>
        </is>
      </c>
      <c r="H23" s="7" t="inlineStr">
        <is>
          <t>V1: HttpOnly may be missing.</t>
        </is>
      </c>
      <c r="I23" s="7" t="inlineStr">
        <is>
          <t>V2: HttpOnly=true; Secure=true; SameSite=Strict.</t>
        </is>
      </c>
      <c r="J23" s="7" t="inlineStr"/>
      <c r="K23" s="7" t="inlineStr"/>
      <c r="L23" s="7" t="inlineStr"/>
      <c r="M23" s="7" t="inlineStr"/>
      <c r="N23" s="7" t="inlineStr"/>
    </row>
    <row r="25">
      <c r="A25" s="43" t="inlineStr">
        <is>
          <t>TOTAL TEST CASES: 20</t>
        </is>
      </c>
      <c r="B25" s="22" t="n"/>
      <c r="C25" s="22" t="n"/>
      <c r="D25" s="22" t="n"/>
      <c r="E25" s="23">
        <f>COUNTIF(K4:K23,"✅ PASS")</f>
        <v/>
      </c>
      <c r="F25" s="24">
        <f>COUNTIF(K4:K23,"❌ FAIL")</f>
        <v/>
      </c>
      <c r="G25" s="22" t="inlineStr">
        <is>
          <t>V1 Pass%</t>
        </is>
      </c>
      <c r="H25" s="25">
        <f>IFERROR(E25/(20)*100,0)&amp;"%"</f>
        <v/>
      </c>
      <c r="I25" s="23">
        <f>COUNTIF(M4:M23,"✅ PASS")</f>
        <v/>
      </c>
      <c r="J25" s="24">
        <f>COUNTIF(M4:M23,"❌ FAIL")</f>
        <v/>
      </c>
      <c r="K25" s="22" t="inlineStr">
        <is>
          <t>V2 Pass%</t>
        </is>
      </c>
      <c r="L25" s="25">
        <f>IFERROR(I25/(20)*100,0)&amp;"%"</f>
        <v/>
      </c>
      <c r="M25" s="22" t="n"/>
      <c r="N25" s="22" t="n"/>
    </row>
  </sheetData>
  <mergeCells count="3">
    <mergeCell ref="A25:D25"/>
    <mergeCell ref="A2:N2"/>
    <mergeCell ref="A1:N1"/>
  </mergeCells>
  <dataValidations count="2">
    <dataValidation sqref="K4:K23" showDropDown="0" showInputMessage="0" showErrorMessage="0" allowBlank="0" type="list">
      <formula1>"✅ PASS,❌ FAIL,🔶 BLOCKED,⬜ NOT RUN,➡️ N/A"</formula1>
    </dataValidation>
    <dataValidation sqref="M4:M23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26" t="inlineStr">
        <is>
          <t>🧪  UI/UX Regression &amp; Accessibility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27" t="inlineStr">
        <is>
          <t>Test ID</t>
        </is>
      </c>
      <c r="B3" s="27" t="inlineStr">
        <is>
          <t>Category</t>
        </is>
      </c>
      <c r="C3" s="27" t="inlineStr">
        <is>
          <t>Test Case Name</t>
        </is>
      </c>
      <c r="D3" s="27" t="inlineStr">
        <is>
          <t>Priority</t>
        </is>
      </c>
      <c r="E3" s="27" t="inlineStr">
        <is>
          <t>Type</t>
        </is>
      </c>
      <c r="F3" s="27" t="inlineStr">
        <is>
          <t>Pre-conditions</t>
        </is>
      </c>
      <c r="G3" s="27" t="inlineStr">
        <is>
          <t>Test Steps</t>
        </is>
      </c>
      <c r="H3" s="27" t="inlineStr">
        <is>
          <t>Expected Result (V1)</t>
        </is>
      </c>
      <c r="I3" s="27" t="inlineStr">
        <is>
          <t>Expected Result (V2)</t>
        </is>
      </c>
      <c r="J3" s="27" t="inlineStr">
        <is>
          <t>Actual Result (V1)</t>
        </is>
      </c>
      <c r="K3" s="27" t="inlineStr">
        <is>
          <t>Status V1</t>
        </is>
      </c>
      <c r="L3" s="27" t="inlineStr">
        <is>
          <t>Actual Result (V2)</t>
        </is>
      </c>
      <c r="M3" s="27" t="inlineStr">
        <is>
          <t>Status V2</t>
        </is>
      </c>
      <c r="N3" s="27" t="inlineStr">
        <is>
          <t>Notes / Defect ID</t>
        </is>
      </c>
    </row>
    <row r="4" ht="55" customHeight="1">
      <c r="A4" s="17" t="inlineStr">
        <is>
          <t>UI-001</t>
        </is>
      </c>
      <c r="B4" s="17" t="inlineStr">
        <is>
          <t>Responsive</t>
        </is>
      </c>
      <c r="C4" s="17" t="inlineStr">
        <is>
          <t>Dashboard responsive on 375px mobile</t>
        </is>
      </c>
      <c r="D4" s="19" t="inlineStr">
        <is>
          <t>High</t>
        </is>
      </c>
      <c r="E4" s="17" t="inlineStr">
        <is>
          <t>UI</t>
        </is>
      </c>
      <c r="F4" s="17" t="inlineStr">
        <is>
          <t>Browser at 375px width.</t>
        </is>
      </c>
      <c r="G4" s="17" t="inlineStr">
        <is>
          <t>Load /admin → Check layout</t>
        </is>
      </c>
      <c r="H4" s="17" t="inlineStr">
        <is>
          <t>V1: Layout breaks on mobile.</t>
        </is>
      </c>
      <c r="I4" s="17" t="inlineStr">
        <is>
          <t>V2: MUI Grid responsive. Stack vertically on mobile.</t>
        </is>
      </c>
      <c r="J4" s="17" t="inlineStr"/>
      <c r="K4" s="17" t="inlineStr"/>
      <c r="L4" s="17" t="inlineStr"/>
      <c r="M4" s="17" t="inlineStr"/>
      <c r="N4" s="17" t="inlineStr"/>
    </row>
    <row r="5" ht="55" customHeight="1">
      <c r="A5" s="7" t="inlineStr">
        <is>
          <t>UI-002</t>
        </is>
      </c>
      <c r="B5" s="7" t="inlineStr">
        <is>
          <t>Responsive</t>
        </is>
      </c>
      <c r="C5" s="7" t="inlineStr">
        <is>
          <t>Tables horizontally scrollable on mobile</t>
        </is>
      </c>
      <c r="D5" s="19" t="inlineStr">
        <is>
          <t>High</t>
        </is>
      </c>
      <c r="E5" s="7" t="inlineStr">
        <is>
          <t>UI</t>
        </is>
      </c>
      <c r="F5" s="7" t="inlineStr">
        <is>
          <t>375px viewport.</t>
        </is>
      </c>
      <c r="G5" s="7" t="inlineStr">
        <is>
          <t>View DataTable on mobile</t>
        </is>
      </c>
      <c r="H5" s="7" t="inlineStr">
        <is>
          <t>V1: Table overflows. Cannot scroll.</t>
        </is>
      </c>
      <c r="I5" s="7" t="inlineStr">
        <is>
          <t>V2: overflow-x: auto. Table scrollable.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UI-003</t>
        </is>
      </c>
      <c r="B6" s="17" t="inlineStr">
        <is>
          <t>Theme</t>
        </is>
      </c>
      <c r="C6" s="17" t="inlineStr">
        <is>
          <t>Gold (#FFC600) color used consistently</t>
        </is>
      </c>
      <c r="D6" s="20" t="inlineStr">
        <is>
          <t>Medium</t>
        </is>
      </c>
      <c r="E6" s="17" t="inlineStr">
        <is>
          <t>UI</t>
        </is>
      </c>
      <c r="F6" s="17" t="inlineStr">
        <is>
          <t>Multiple pages loaded.</t>
        </is>
      </c>
      <c r="G6" s="17" t="inlineStr">
        <is>
          <t>Check accent color on attendance and complaints pages</t>
        </is>
      </c>
      <c r="H6" s="17" t="inlineStr">
        <is>
          <t>V1: Inconsistent colors.</t>
        </is>
      </c>
      <c r="I6" s="17" t="inlineStr">
        <is>
          <t>V2: GOLD constant (#FFC600) used consistently across components.</t>
        </is>
      </c>
      <c r="J6" s="17" t="inlineStr"/>
      <c r="K6" s="17" t="inlineStr"/>
      <c r="L6" s="17" t="inlineStr"/>
      <c r="M6" s="17" t="inlineStr"/>
      <c r="N6" s="17" t="inlineStr">
        <is>
          <t>GOLD = #FFC600 defined in attendance and complaints pages</t>
        </is>
      </c>
    </row>
    <row r="7" ht="55" customHeight="1">
      <c r="A7" s="7" t="inlineStr">
        <is>
          <t>UI-004</t>
        </is>
      </c>
      <c r="B7" s="7" t="inlineStr">
        <is>
          <t>Animations</t>
        </is>
      </c>
      <c r="C7" s="7" t="inlineStr">
        <is>
          <t>Framer Motion animations render without jank</t>
        </is>
      </c>
      <c r="D7" s="20" t="inlineStr">
        <is>
          <t>Medium</t>
        </is>
      </c>
      <c r="E7" s="7" t="inlineStr">
        <is>
          <t>UI</t>
        </is>
      </c>
      <c r="F7" s="7" t="inlineStr">
        <is>
          <t>Pages with motion components.</t>
        </is>
      </c>
      <c r="G7" s="7" t="inlineStr">
        <is>
          <t>Load attendance and complaints pages
Observe animations</t>
        </is>
      </c>
      <c r="H7" s="7" t="inlineStr">
        <is>
          <t>V1: No animations.</t>
        </is>
      </c>
      <c r="I7" s="7" t="inlineStr">
        <is>
          <t>V2: Smooth 60fps animations via Framer Motion.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UI-005</t>
        </is>
      </c>
      <c r="B8" s="17" t="inlineStr">
        <is>
          <t>Button Hover</t>
        </is>
      </c>
      <c r="C8" s="17" t="inlineStr">
        <is>
          <t>Button hover shows translateY animation</t>
        </is>
      </c>
      <c r="D8" s="28" t="inlineStr">
        <is>
          <t>Low</t>
        </is>
      </c>
      <c r="E8" s="17" t="inlineStr">
        <is>
          <t>UI</t>
        </is>
      </c>
      <c r="F8" s="17" t="inlineStr">
        <is>
          <t>Any page with MUI Button.</t>
        </is>
      </c>
      <c r="G8" s="17" t="inlineStr">
        <is>
          <t>Hover over button</t>
        </is>
      </c>
      <c r="H8" s="17" t="inlineStr">
        <is>
          <t>No animation.</t>
        </is>
      </c>
      <c r="I8" s="17" t="inlineStr">
        <is>
          <t>V2: Button lifts up 1px on hover (translateY(-1px)).</t>
        </is>
      </c>
      <c r="J8" s="17" t="inlineStr"/>
      <c r="K8" s="17" t="inlineStr"/>
      <c r="L8" s="17" t="inlineStr"/>
      <c r="M8" s="17" t="inlineStr"/>
      <c r="N8" s="17" t="inlineStr">
        <is>
          <t>Defined in theme.ts</t>
        </is>
      </c>
    </row>
    <row r="9" ht="55" customHeight="1">
      <c r="A9" s="7" t="inlineStr">
        <is>
          <t>UI-006</t>
        </is>
      </c>
      <c r="B9" s="7" t="inlineStr">
        <is>
          <t>Drawer</t>
        </is>
      </c>
      <c r="C9" s="7" t="inlineStr">
        <is>
          <t>Drawer opens and closes smoothly</t>
        </is>
      </c>
      <c r="D9" s="19" t="inlineStr">
        <is>
          <t>High</t>
        </is>
      </c>
      <c r="E9" s="7" t="inlineStr">
        <is>
          <t>UI</t>
        </is>
      </c>
      <c r="F9" s="7" t="inlineStr">
        <is>
          <t>Any page with Drawer component.</t>
        </is>
      </c>
      <c r="G9" s="7" t="inlineStr">
        <is>
          <t>Open drawer
Close drawer</t>
        </is>
      </c>
      <c r="H9" s="7" t="inlineStr">
        <is>
          <t>Functional but no animation.</t>
        </is>
      </c>
      <c r="I9" s="7" t="inlineStr">
        <is>
          <t>V2: Smooth slide-in/out animation.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UI-007</t>
        </is>
      </c>
      <c r="B10" s="17" t="inlineStr">
        <is>
          <t>Loading</t>
        </is>
      </c>
      <c r="C10" s="17" t="inlineStr">
        <is>
          <t>CircularProgress shown during data fetch</t>
        </is>
      </c>
      <c r="D10" s="19" t="inlineStr">
        <is>
          <t>High</t>
        </is>
      </c>
      <c r="E10" s="17" t="inlineStr">
        <is>
          <t>UI</t>
        </is>
      </c>
      <c r="F10" s="17" t="inlineStr">
        <is>
          <t>Slow network simulated.</t>
        </is>
      </c>
      <c r="G10" s="17" t="inlineStr">
        <is>
          <t>Throttle network to Slow 3G
Load any data page</t>
        </is>
      </c>
      <c r="H10" s="17" t="inlineStr">
        <is>
          <t>V1: Blank screen during load.</t>
        </is>
      </c>
      <c r="I10" s="17" t="inlineStr">
        <is>
          <t>V2: MUI CircularProgress centered during API call.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UI-008</t>
        </is>
      </c>
      <c r="B11" s="7" t="inlineStr">
        <is>
          <t>Error State</t>
        </is>
      </c>
      <c r="C11" s="7" t="inlineStr">
        <is>
          <t>Error message shown on API failure</t>
        </is>
      </c>
      <c r="D11" s="19" t="inlineStr">
        <is>
          <t>High</t>
        </is>
      </c>
      <c r="E11" s="7" t="inlineStr">
        <is>
          <t>UI</t>
        </is>
      </c>
      <c r="F11" s="7" t="inlineStr">
        <is>
          <t>API returns 500.</t>
        </is>
      </c>
      <c r="G11" s="7" t="inlineStr">
        <is>
          <t>Disconnect backend
Load page</t>
        </is>
      </c>
      <c r="H11" s="7" t="inlineStr">
        <is>
          <t>V1: White screen / console error.</t>
        </is>
      </c>
      <c r="I11" s="7" t="inlineStr">
        <is>
          <t>V2: MUI Alert error message shown on page.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UI-009</t>
        </is>
      </c>
      <c r="B12" s="17" t="inlineStr">
        <is>
          <t>Empty State</t>
        </is>
      </c>
      <c r="C12" s="17" t="inlineStr">
        <is>
          <t>Empty state shown on empty DataTable</t>
        </is>
      </c>
      <c r="D12" s="20" t="inlineStr">
        <is>
          <t>Medium</t>
        </is>
      </c>
      <c r="E12" s="17" t="inlineStr">
        <is>
          <t>UI</t>
        </is>
      </c>
      <c r="F12" s="17" t="inlineStr">
        <is>
          <t>No data in table.</t>
        </is>
      </c>
      <c r="G12" s="17" t="inlineStr">
        <is>
          <t>Load page with empty dataset</t>
        </is>
      </c>
      <c r="H12" s="17" t="inlineStr">
        <is>
          <t>V1: Empty table or raw "No rows".</t>
        </is>
      </c>
      <c r="I12" s="17" t="inlineStr">
        <is>
          <t>V2: Styled empty state with icon and message.</t>
        </is>
      </c>
      <c r="J12" s="17" t="inlineStr"/>
      <c r="K12" s="17" t="inlineStr"/>
      <c r="L12" s="17" t="inlineStr"/>
      <c r="M12" s="17" t="inlineStr"/>
      <c r="N12" s="17" t="inlineStr"/>
    </row>
    <row r="13" ht="55" customHeight="1">
      <c r="A13" s="7" t="inlineStr">
        <is>
          <t>UI-010</t>
        </is>
      </c>
      <c r="B13" s="7" t="inlineStr">
        <is>
          <t>Typography</t>
        </is>
      </c>
      <c r="C13" s="7" t="inlineStr">
        <is>
          <t>Font hierarchy consistent (H1 &gt; H2 &gt; Body)</t>
        </is>
      </c>
      <c r="D13" s="28" t="inlineStr">
        <is>
          <t>Low</t>
        </is>
      </c>
      <c r="E13" s="7" t="inlineStr">
        <is>
          <t>UI</t>
        </is>
      </c>
      <c r="F13" s="7" t="inlineStr">
        <is>
          <t>Multiple pages.</t>
        </is>
      </c>
      <c r="G13" s="7" t="inlineStr">
        <is>
          <t>Inspect heading fonts and sizes</t>
        </is>
      </c>
      <c r="H13" s="7" t="inlineStr">
        <is>
          <t>Inconsistent sizes.</t>
        </is>
      </c>
      <c r="I13" s="7" t="inlineStr">
        <is>
          <t>V2: MUI Typography scale used consistently.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UI-011</t>
        </is>
      </c>
      <c r="B14" s="17" t="inlineStr">
        <is>
          <t>Scrollbar</t>
        </is>
      </c>
      <c r="C14" s="17" t="inlineStr">
        <is>
          <t>Custom scrollbar styled (V2)</t>
        </is>
      </c>
      <c r="D14" s="28" t="inlineStr">
        <is>
          <t>Low</t>
        </is>
      </c>
      <c r="E14" s="17" t="inlineStr">
        <is>
          <t>UI</t>
        </is>
      </c>
      <c r="F14" s="17" t="inlineStr">
        <is>
          <t>Scrollable content.</t>
        </is>
      </c>
      <c r="G14" s="17" t="inlineStr">
        <is>
          <t>Scroll on any content area</t>
        </is>
      </c>
      <c r="H14" s="17" t="inlineStr">
        <is>
          <t>Default browser scrollbar.</t>
        </is>
      </c>
      <c r="I14" s="17" t="inlineStr">
        <is>
          <t>V2: Custom thin scrollbar via globals.css.</t>
        </is>
      </c>
      <c r="J14" s="17" t="inlineStr"/>
      <c r="K14" s="17" t="inlineStr"/>
      <c r="L14" s="17" t="inlineStr"/>
      <c r="M14" s="17" t="inlineStr"/>
      <c r="N14" s="17" t="inlineStr">
        <is>
          <t>Defined in globals.css</t>
        </is>
      </c>
    </row>
    <row r="15" ht="55" customHeight="1">
      <c r="A15" s="7" t="inlineStr">
        <is>
          <t>UI-012</t>
        </is>
      </c>
      <c r="B15" s="7" t="inlineStr">
        <is>
          <t>Glass Morphism</t>
        </is>
      </c>
      <c r="C15" s="7" t="inlineStr">
        <is>
          <t>Glass morphism utility class applied</t>
        </is>
      </c>
      <c r="D15" s="28" t="inlineStr">
        <is>
          <t>Low</t>
        </is>
      </c>
      <c r="E15" s="7" t="inlineStr">
        <is>
          <t>UI</t>
        </is>
      </c>
      <c r="F15" s="7" t="inlineStr">
        <is>
          <t>Components using glass class.</t>
        </is>
      </c>
      <c r="G15" s="7" t="inlineStr">
        <is>
          <t>Inspect glass card backgrounds</t>
        </is>
      </c>
      <c r="H15" s="7" t="inlineStr">
        <is>
          <t>No glass effect.</t>
        </is>
      </c>
      <c r="I15" s="7" t="inlineStr">
        <is>
          <t>V2: Backdrop blur + transparent background on designated cards.</t>
        </is>
      </c>
      <c r="J15" s="7" t="inlineStr"/>
      <c r="K15" s="7" t="inlineStr"/>
      <c r="L15" s="7" t="inlineStr"/>
      <c r="M15" s="7" t="inlineStr"/>
      <c r="N15" s="7" t="inlineStr">
        <is>
          <t>globals.css glass utility class</t>
        </is>
      </c>
    </row>
    <row r="16" ht="55" customHeight="1">
      <c r="A16" s="17" t="inlineStr">
        <is>
          <t>UI-013</t>
        </is>
      </c>
      <c r="B16" s="17" t="inlineStr">
        <is>
          <t>Accessibility</t>
        </is>
      </c>
      <c r="C16" s="17" t="inlineStr">
        <is>
          <t>Tab keyboard navigation through form fields</t>
        </is>
      </c>
      <c r="D16" s="19" t="inlineStr">
        <is>
          <t>High</t>
        </is>
      </c>
      <c r="E16" s="17" t="inlineStr">
        <is>
          <t>Accessibility</t>
        </is>
      </c>
      <c r="F16" s="17" t="inlineStr">
        <is>
          <t>Any form page.</t>
        </is>
      </c>
      <c r="G16" s="17" t="inlineStr">
        <is>
          <t>Press Tab to navigate form fields
Check focus indicators</t>
        </is>
      </c>
      <c r="H16" s="17" t="inlineStr">
        <is>
          <t>V1: Focus indicators may be missing.</t>
        </is>
      </c>
      <c r="I16" s="17" t="inlineStr">
        <is>
          <t>V2: MUI focus states visible. Logical tab order.</t>
        </is>
      </c>
      <c r="J16" s="17" t="inlineStr"/>
      <c r="K16" s="17" t="inlineStr"/>
      <c r="L16" s="17" t="inlineStr"/>
      <c r="M16" s="17" t="inlineStr"/>
      <c r="N16" s="17" t="inlineStr"/>
    </row>
    <row r="17" ht="55" customHeight="1">
      <c r="A17" s="7" t="inlineStr">
        <is>
          <t>UI-014</t>
        </is>
      </c>
      <c r="B17" s="7" t="inlineStr">
        <is>
          <t>Accessibility</t>
        </is>
      </c>
      <c r="C17" s="7" t="inlineStr">
        <is>
          <t>Screen reader labels on icon buttons</t>
        </is>
      </c>
      <c r="D17" s="20" t="inlineStr">
        <is>
          <t>Medium</t>
        </is>
      </c>
      <c r="E17" s="7" t="inlineStr">
        <is>
          <t>Accessibility</t>
        </is>
      </c>
      <c r="F17" s="7" t="inlineStr">
        <is>
          <t>Pages with IconButton.</t>
        </is>
      </c>
      <c r="G17" s="7" t="inlineStr">
        <is>
          <t>Use screen reader on icon buttons</t>
        </is>
      </c>
      <c r="H17" s="7" t="inlineStr">
        <is>
          <t>No aria-label.</t>
        </is>
      </c>
      <c r="I17" s="7" t="inlineStr">
        <is>
          <t>V2: aria-label on all IconButton components.</t>
        </is>
      </c>
      <c r="J17" s="7" t="inlineStr"/>
      <c r="K17" s="7" t="inlineStr"/>
      <c r="L17" s="7" t="inlineStr"/>
      <c r="M17" s="7" t="inlineStr"/>
      <c r="N17" s="7" t="inlineStr"/>
    </row>
    <row r="18" ht="55" customHeight="1">
      <c r="A18" s="17" t="inlineStr">
        <is>
          <t>UI-015</t>
        </is>
      </c>
      <c r="B18" s="17" t="inlineStr">
        <is>
          <t>Dialog</t>
        </is>
      </c>
      <c r="C18" s="17" t="inlineStr">
        <is>
          <t>Confirm dialogs prevent accidental deletes</t>
        </is>
      </c>
      <c r="D18" s="19" t="inlineStr">
        <is>
          <t>High</t>
        </is>
      </c>
      <c r="E18" s="17" t="inlineStr">
        <is>
          <t>UI</t>
        </is>
      </c>
      <c r="F18" s="17" t="inlineStr">
        <is>
          <t>Delete/reject actions.</t>
        </is>
      </c>
      <c r="G18" s="17" t="inlineStr">
        <is>
          <t>Click delete/reject button</t>
        </is>
      </c>
      <c r="H18" s="17" t="inlineStr">
        <is>
          <t>V1: Immediate action without confirmation.</t>
        </is>
      </c>
      <c r="I18" s="17" t="inlineStr">
        <is>
          <t>V2: MUI Dialog confirmation required.</t>
        </is>
      </c>
      <c r="J18" s="17" t="inlineStr"/>
      <c r="K18" s="17" t="inlineStr"/>
      <c r="L18" s="17" t="inlineStr"/>
      <c r="M18" s="17" t="inlineStr"/>
      <c r="N18" s="17" t="inlineStr"/>
    </row>
    <row r="19" ht="55" customHeight="1">
      <c r="A19" s="7" t="inlineStr">
        <is>
          <t>UI-016</t>
        </is>
      </c>
      <c r="B19" s="7" t="inlineStr">
        <is>
          <t>Toast</t>
        </is>
      </c>
      <c r="C19" s="7" t="inlineStr">
        <is>
          <t>Success/error Snackbars auto-dismiss after 3s</t>
        </is>
      </c>
      <c r="D19" s="20" t="inlineStr">
        <is>
          <t>Medium</t>
        </is>
      </c>
      <c r="E19" s="7" t="inlineStr">
        <is>
          <t>UI</t>
        </is>
      </c>
      <c r="F19" s="7" t="inlineStr">
        <is>
          <t>Any successful action.</t>
        </is>
      </c>
      <c r="G19" s="7" t="inlineStr">
        <is>
          <t>Perform action that triggers Snackbar</t>
        </is>
      </c>
      <c r="H19" s="7" t="inlineStr">
        <is>
          <t>No Snackbar.</t>
        </is>
      </c>
      <c r="I19" s="7" t="inlineStr">
        <is>
          <t>V2: Snackbar shown and auto-dismisses after 3 seconds.</t>
        </is>
      </c>
      <c r="J19" s="7" t="inlineStr"/>
      <c r="K19" s="7" t="inlineStr"/>
      <c r="L19" s="7" t="inlineStr"/>
      <c r="M19" s="7" t="inlineStr"/>
      <c r="N19" s="7" t="inlineStr"/>
    </row>
    <row r="20" ht="55" customHeight="1">
      <c r="A20" s="17" t="inlineStr">
        <is>
          <t>UI-017</t>
        </is>
      </c>
      <c r="B20" s="17" t="inlineStr">
        <is>
          <t>Sidebar</t>
        </is>
      </c>
      <c r="C20" s="17" t="inlineStr">
        <is>
          <t>Admin sidebar navigation highlights active page</t>
        </is>
      </c>
      <c r="D20" s="20" t="inlineStr">
        <is>
          <t>Medium</t>
        </is>
      </c>
      <c r="E20" s="17" t="inlineStr">
        <is>
          <t>UI</t>
        </is>
      </c>
      <c r="F20" s="17" t="inlineStr">
        <is>
          <t>Admin logged in.</t>
        </is>
      </c>
      <c r="G20" s="17" t="inlineStr">
        <is>
          <t>Navigate to different admin sections
Check sidebar</t>
        </is>
      </c>
      <c r="H20" s="17" t="inlineStr">
        <is>
          <t>V1: No active highlight.</t>
        </is>
      </c>
      <c r="I20" s="17" t="inlineStr">
        <is>
          <t>V2: Active page highlighted in sidebar with MUI selected state.</t>
        </is>
      </c>
      <c r="J20" s="17" t="inlineStr"/>
      <c r="K20" s="17" t="inlineStr"/>
      <c r="L20" s="17" t="inlineStr"/>
      <c r="M20" s="17" t="inlineStr"/>
      <c r="N20" s="17" t="inlineStr"/>
    </row>
    <row r="21" ht="55" customHeight="1">
      <c r="A21" s="7" t="inlineStr">
        <is>
          <t>UI-018</t>
        </is>
      </c>
      <c r="B21" s="7" t="inlineStr">
        <is>
          <t>Dark Mode</t>
        </is>
      </c>
      <c r="C21" s="7" t="inlineStr">
        <is>
          <t>System dark mode preference respected</t>
        </is>
      </c>
      <c r="D21" s="28" t="inlineStr">
        <is>
          <t>Low</t>
        </is>
      </c>
      <c r="E21" s="7" t="inlineStr">
        <is>
          <t>UI</t>
        </is>
      </c>
      <c r="F21" s="7" t="inlineStr">
        <is>
          <t>OS dark mode enabled.</t>
        </is>
      </c>
      <c r="G21" s="7" t="inlineStr">
        <is>
          <t>Enable OS dark mode
Load application</t>
        </is>
      </c>
      <c r="H21" s="7" t="inlineStr">
        <is>
          <t>Light mode only.</t>
        </is>
      </c>
      <c r="I21" s="7" t="inlineStr">
        <is>
          <t>V2: MUI theme respects prefers-color-scheme.</t>
        </is>
      </c>
      <c r="J21" s="7" t="inlineStr"/>
      <c r="K21" s="7" t="inlineStr"/>
      <c r="L21" s="7" t="inlineStr"/>
      <c r="M21" s="7" t="inlineStr"/>
      <c r="N21" s="7" t="inlineStr"/>
    </row>
    <row r="23">
      <c r="A23" s="29" t="inlineStr">
        <is>
          <t>TOTAL TEST CASES: 18</t>
        </is>
      </c>
      <c r="B23" s="22" t="n"/>
      <c r="C23" s="22" t="n"/>
      <c r="D23" s="22" t="n"/>
      <c r="E23" s="23">
        <f>COUNTIF(K4:K21,"✅ PASS")</f>
        <v/>
      </c>
      <c r="F23" s="24">
        <f>COUNTIF(K4:K21,"❌ FAIL")</f>
        <v/>
      </c>
      <c r="G23" s="22" t="inlineStr">
        <is>
          <t>V1 Pass%</t>
        </is>
      </c>
      <c r="H23" s="25">
        <f>IFERROR(E23/(18)*100,0)&amp;"%"</f>
        <v/>
      </c>
      <c r="I23" s="23">
        <f>COUNTIF(M4:M21,"✅ PASS")</f>
        <v/>
      </c>
      <c r="J23" s="24">
        <f>COUNTIF(M4:M21,"❌ FAIL")</f>
        <v/>
      </c>
      <c r="K23" s="22" t="inlineStr">
        <is>
          <t>V2 Pass%</t>
        </is>
      </c>
      <c r="L23" s="25">
        <f>IFERROR(I23/(18)*100,0)&amp;"%"</f>
        <v/>
      </c>
      <c r="M23" s="22" t="n"/>
      <c r="N23" s="22" t="n"/>
    </row>
  </sheetData>
  <mergeCells count="3">
    <mergeCell ref="A23:D23"/>
    <mergeCell ref="A2:N2"/>
    <mergeCell ref="A1:N1"/>
  </mergeCells>
  <dataValidations count="2">
    <dataValidation sqref="K4:K21" showDropDown="0" showInputMessage="0" showErrorMessage="0" allowBlank="0" type="list">
      <formula1>"✅ PASS,❌ FAIL,🔶 BLOCKED,⬜ NOT RUN,➡️ N/A"</formula1>
    </dataValidation>
    <dataValidation sqref="M4:M21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14" customWidth="1" min="5" max="5"/>
    <col width="28" customWidth="1" min="6" max="6"/>
    <col width="40" customWidth="1" min="7" max="7"/>
    <col width="32" customWidth="1" min="8" max="8"/>
    <col width="32" customWidth="1" min="9" max="9"/>
    <col width="25" customWidth="1" min="10" max="10"/>
    <col width="12" customWidth="1" min="11" max="11"/>
    <col width="25" customWidth="1" min="12" max="12"/>
    <col width="12" customWidth="1" min="13" max="13"/>
    <col width="28" customWidth="1" min="14" max="14"/>
  </cols>
  <sheetData>
    <row r="1" ht="35" customHeight="1">
      <c r="A1" s="36" t="inlineStr">
        <is>
          <t>🧪  Performance &amp; Load Testing</t>
        </is>
      </c>
    </row>
    <row r="2">
      <c r="A2" s="15" t="inlineStr">
        <is>
          <t>Test Suite  |  SASMS v13  |  Tester: ___________  |  Date: ___________  |  Environment: localhost:3000 / localhost:5001</t>
        </is>
      </c>
    </row>
    <row r="3" ht="30" customHeight="1">
      <c r="A3" s="37" t="inlineStr">
        <is>
          <t>Test ID</t>
        </is>
      </c>
      <c r="B3" s="37" t="inlineStr">
        <is>
          <t>Category</t>
        </is>
      </c>
      <c r="C3" s="37" t="inlineStr">
        <is>
          <t>Test Case Name</t>
        </is>
      </c>
      <c r="D3" s="37" t="inlineStr">
        <is>
          <t>Priority</t>
        </is>
      </c>
      <c r="E3" s="37" t="inlineStr">
        <is>
          <t>Type</t>
        </is>
      </c>
      <c r="F3" s="37" t="inlineStr">
        <is>
          <t>Pre-conditions</t>
        </is>
      </c>
      <c r="G3" s="37" t="inlineStr">
        <is>
          <t>Test Steps</t>
        </is>
      </c>
      <c r="H3" s="37" t="inlineStr">
        <is>
          <t>Expected Result (V1)</t>
        </is>
      </c>
      <c r="I3" s="37" t="inlineStr">
        <is>
          <t>Expected Result (V2)</t>
        </is>
      </c>
      <c r="J3" s="37" t="inlineStr">
        <is>
          <t>Actual Result (V1)</t>
        </is>
      </c>
      <c r="K3" s="37" t="inlineStr">
        <is>
          <t>Status V1</t>
        </is>
      </c>
      <c r="L3" s="37" t="inlineStr">
        <is>
          <t>Actual Result (V2)</t>
        </is>
      </c>
      <c r="M3" s="37" t="inlineStr">
        <is>
          <t>Status V2</t>
        </is>
      </c>
      <c r="N3" s="37" t="inlineStr">
        <is>
          <t>Notes / Defect ID</t>
        </is>
      </c>
    </row>
    <row r="4" ht="55" customHeight="1">
      <c r="A4" s="17" t="inlineStr">
        <is>
          <t>PERF-001</t>
        </is>
      </c>
      <c r="B4" s="17" t="inlineStr">
        <is>
          <t>API Response</t>
        </is>
      </c>
      <c r="C4" s="17" t="inlineStr">
        <is>
          <t>Login API responds in &lt; 500ms</t>
        </is>
      </c>
      <c r="D4" s="19" t="inlineStr">
        <is>
          <t>High</t>
        </is>
      </c>
      <c r="E4" s="17" t="inlineStr">
        <is>
          <t>Performance</t>
        </is>
      </c>
      <c r="F4" s="17" t="inlineStr">
        <is>
          <t>Backend running.</t>
        </is>
      </c>
      <c r="G4" s="17" t="inlineStr">
        <is>
          <t>POST /api/auth/login with valid credentials
Measure response time</t>
        </is>
      </c>
      <c r="H4" s="17" t="inlineStr">
        <is>
          <t>V1: 800-1200ms (bcrypt overhead).</t>
        </is>
      </c>
      <c r="I4" s="17" t="inlineStr">
        <is>
          <t>V2: &lt; 500ms with bcrypt rounds optimization.</t>
        </is>
      </c>
      <c r="J4" s="17" t="inlineStr"/>
      <c r="K4" s="17" t="inlineStr"/>
      <c r="L4" s="17" t="inlineStr"/>
      <c r="M4" s="17" t="inlineStr"/>
      <c r="N4" s="17" t="inlineStr">
        <is>
          <t>bcrypt rounds directly affect login time</t>
        </is>
      </c>
    </row>
    <row r="5" ht="55" customHeight="1">
      <c r="A5" s="7" t="inlineStr">
        <is>
          <t>PERF-002</t>
        </is>
      </c>
      <c r="B5" s="7" t="inlineStr">
        <is>
          <t>API Response</t>
        </is>
      </c>
      <c r="C5" s="7" t="inlineStr">
        <is>
          <t>GET students list responds in &lt; 200ms</t>
        </is>
      </c>
      <c r="D5" s="19" t="inlineStr">
        <is>
          <t>High</t>
        </is>
      </c>
      <c r="E5" s="7" t="inlineStr">
        <is>
          <t>Performance</t>
        </is>
      </c>
      <c r="F5" s="7" t="inlineStr">
        <is>
          <t>500 students in DB.</t>
        </is>
      </c>
      <c r="G5" s="7" t="inlineStr">
        <is>
          <t>GET /api/students
Measure time</t>
        </is>
      </c>
      <c r="H5" s="7" t="inlineStr">
        <is>
          <t>V1: 1-3s without pagination.</t>
        </is>
      </c>
      <c r="I5" s="7" t="inlineStr">
        <is>
          <t>V2: &lt; 200ms with pagination (50 per page).</t>
        </is>
      </c>
      <c r="J5" s="7" t="inlineStr"/>
      <c r="K5" s="7" t="inlineStr"/>
      <c r="L5" s="7" t="inlineStr"/>
      <c r="M5" s="7" t="inlineStr"/>
      <c r="N5" s="7" t="inlineStr"/>
    </row>
    <row r="6" ht="55" customHeight="1">
      <c r="A6" s="17" t="inlineStr">
        <is>
          <t>PERF-003</t>
        </is>
      </c>
      <c r="B6" s="17" t="inlineStr">
        <is>
          <t>Page Load</t>
        </is>
      </c>
      <c r="C6" s="17" t="inlineStr">
        <is>
          <t>Admin dashboard FCP &lt; 2 seconds</t>
        </is>
      </c>
      <c r="D6" s="19" t="inlineStr">
        <is>
          <t>High</t>
        </is>
      </c>
      <c r="E6" s="17" t="inlineStr">
        <is>
          <t>Performance</t>
        </is>
      </c>
      <c r="F6" s="17" t="inlineStr">
        <is>
          <t>Production build.</t>
        </is>
      </c>
      <c r="G6" s="17" t="inlineStr">
        <is>
          <t>Open /admin on fresh browser
Measure First Contentful Paint</t>
        </is>
      </c>
      <c r="H6" s="17" t="inlineStr">
        <is>
          <t>V1: 3-5s (all data fetched before render).</t>
        </is>
      </c>
      <c r="I6" s="17" t="inlineStr">
        <is>
          <t>V2: &lt; 2s with SSR/ISR and skeleton loading.</t>
        </is>
      </c>
      <c r="J6" s="17" t="inlineStr"/>
      <c r="K6" s="17" t="inlineStr"/>
      <c r="L6" s="17" t="inlineStr"/>
      <c r="M6" s="17" t="inlineStr"/>
      <c r="N6" s="17" t="inlineStr"/>
    </row>
    <row r="7" ht="55" customHeight="1">
      <c r="A7" s="7" t="inlineStr">
        <is>
          <t>PERF-004</t>
        </is>
      </c>
      <c r="B7" s="7" t="inlineStr">
        <is>
          <t>Concurrent</t>
        </is>
      </c>
      <c r="C7" s="7" t="inlineStr">
        <is>
          <t>System handles 50 concurrent users</t>
        </is>
      </c>
      <c r="D7" s="19" t="inlineStr">
        <is>
          <t>High</t>
        </is>
      </c>
      <c r="E7" s="7" t="inlineStr">
        <is>
          <t>Performance</t>
        </is>
      </c>
      <c r="F7" s="7" t="inlineStr">
        <is>
          <t>Load testing tool (e.g., k6 or Artillery).</t>
        </is>
      </c>
      <c r="G7" s="7" t="inlineStr">
        <is>
          <t>Simulate 50 concurrent users
Measure error rate and response times</t>
        </is>
      </c>
      <c r="H7" s="7" t="inlineStr">
        <is>
          <t>V1: Error rate &gt; 5% at 50 users.</t>
        </is>
      </c>
      <c r="I7" s="7" t="inlineStr">
        <is>
          <t>V2: &lt; 1% error rate at 50 concurrent users.</t>
        </is>
      </c>
      <c r="J7" s="7" t="inlineStr"/>
      <c r="K7" s="7" t="inlineStr"/>
      <c r="L7" s="7" t="inlineStr"/>
      <c r="M7" s="7" t="inlineStr"/>
      <c r="N7" s="7" t="inlineStr"/>
    </row>
    <row r="8" ht="55" customHeight="1">
      <c r="A8" s="17" t="inlineStr">
        <is>
          <t>PERF-005</t>
        </is>
      </c>
      <c r="B8" s="17" t="inlineStr">
        <is>
          <t>DB Query</t>
        </is>
      </c>
      <c r="C8" s="17" t="inlineStr">
        <is>
          <t>No N+1 query on student list</t>
        </is>
      </c>
      <c r="D8" s="19" t="inlineStr">
        <is>
          <t>High</t>
        </is>
      </c>
      <c r="E8" s="17" t="inlineStr">
        <is>
          <t>Performance</t>
        </is>
      </c>
      <c r="F8" s="17" t="inlineStr">
        <is>
          <t>DB logging enabled.</t>
        </is>
      </c>
      <c r="G8" s="17" t="inlineStr">
        <is>
          <t>Load student list
Count DB queries in Prisma logs</t>
        </is>
      </c>
      <c r="H8" s="17" t="inlineStr">
        <is>
          <t>V1 BUG: N+1 queries (one per student for related data).</t>
        </is>
      </c>
      <c r="I8" s="17" t="inlineStr">
        <is>
          <t>V2 FIX: Single query with JOIN/include. 1 query total.</t>
        </is>
      </c>
      <c r="J8" s="17" t="inlineStr"/>
      <c r="K8" s="17" t="inlineStr"/>
      <c r="L8" s="17" t="inlineStr"/>
      <c r="M8" s="17" t="inlineStr"/>
      <c r="N8" s="17" t="inlineStr"/>
    </row>
    <row r="9" ht="55" customHeight="1">
      <c r="A9" s="7" t="inlineStr">
        <is>
          <t>PERF-006</t>
        </is>
      </c>
      <c r="B9" s="7" t="inlineStr">
        <is>
          <t>QR Generation</t>
        </is>
      </c>
      <c r="C9" s="7" t="inlineStr">
        <is>
          <t>QR code generated in &lt; 300ms</t>
        </is>
      </c>
      <c r="D9" s="20" t="inlineStr">
        <is>
          <t>Medium</t>
        </is>
      </c>
      <c r="E9" s="7" t="inlineStr">
        <is>
          <t>Performance</t>
        </is>
      </c>
      <c r="F9" s="7" t="inlineStr">
        <is>
          <t>Session creation.</t>
        </is>
      </c>
      <c r="G9" s="7" t="inlineStr">
        <is>
          <t>Create session
Measure time to QR render</t>
        </is>
      </c>
      <c r="H9" s="7" t="inlineStr">
        <is>
          <t>V1: 1-2s.</t>
        </is>
      </c>
      <c r="I9" s="7" t="inlineStr">
        <is>
          <t>V2: &lt; 300ms.</t>
        </is>
      </c>
      <c r="J9" s="7" t="inlineStr"/>
      <c r="K9" s="7" t="inlineStr"/>
      <c r="L9" s="7" t="inlineStr"/>
      <c r="M9" s="7" t="inlineStr"/>
      <c r="N9" s="7" t="inlineStr"/>
    </row>
    <row r="10" ht="55" customHeight="1">
      <c r="A10" s="17" t="inlineStr">
        <is>
          <t>PERF-007</t>
        </is>
      </c>
      <c r="B10" s="17" t="inlineStr">
        <is>
          <t>File Upload</t>
        </is>
      </c>
      <c r="C10" s="17" t="inlineStr">
        <is>
          <t>Document upload completes in &lt; 5s for 5MB file</t>
        </is>
      </c>
      <c r="D10" s="20" t="inlineStr">
        <is>
          <t>Medium</t>
        </is>
      </c>
      <c r="E10" s="17" t="inlineStr">
        <is>
          <t>Performance</t>
        </is>
      </c>
      <c r="F10" s="17" t="inlineStr">
        <is>
          <t>Upload endpoint.</t>
        </is>
      </c>
      <c r="G10" s="17" t="inlineStr">
        <is>
          <t>Upload 5MB PDF
Measure time</t>
        </is>
      </c>
      <c r="H10" s="17" t="inlineStr">
        <is>
          <t>V1: No timeout. May hang.</t>
        </is>
      </c>
      <c r="I10" s="17" t="inlineStr">
        <is>
          <t>V2: &lt; 5s. Progress indicator shown.</t>
        </is>
      </c>
      <c r="J10" s="17" t="inlineStr"/>
      <c r="K10" s="17" t="inlineStr"/>
      <c r="L10" s="17" t="inlineStr"/>
      <c r="M10" s="17" t="inlineStr"/>
      <c r="N10" s="17" t="inlineStr"/>
    </row>
    <row r="11" ht="55" customHeight="1">
      <c r="A11" s="7" t="inlineStr">
        <is>
          <t>PERF-008</t>
        </is>
      </c>
      <c r="B11" s="7" t="inlineStr">
        <is>
          <t>Bundle Size</t>
        </is>
      </c>
      <c r="C11" s="7" t="inlineStr">
        <is>
          <t>JavaScript bundle &lt; 1MB gzipped</t>
        </is>
      </c>
      <c r="D11" s="20" t="inlineStr">
        <is>
          <t>Medium</t>
        </is>
      </c>
      <c r="E11" s="7" t="inlineStr">
        <is>
          <t>Performance</t>
        </is>
      </c>
      <c r="F11" s="7" t="inlineStr">
        <is>
          <t>Next.js production build.</t>
        </is>
      </c>
      <c r="G11" s="7" t="inlineStr">
        <is>
          <t>Run next build
Check bundle analyzer output</t>
        </is>
      </c>
      <c r="H11" s="7" t="inlineStr">
        <is>
          <t>V1: Bundle not analyzed.</t>
        </is>
      </c>
      <c r="I11" s="7" t="inlineStr">
        <is>
          <t>V2: Main bundle &lt; 1MB gzipped. No massive imports.</t>
        </is>
      </c>
      <c r="J11" s="7" t="inlineStr"/>
      <c r="K11" s="7" t="inlineStr"/>
      <c r="L11" s="7" t="inlineStr"/>
      <c r="M11" s="7" t="inlineStr"/>
      <c r="N11" s="7" t="inlineStr"/>
    </row>
    <row r="12" ht="55" customHeight="1">
      <c r="A12" s="17" t="inlineStr">
        <is>
          <t>PERF-009</t>
        </is>
      </c>
      <c r="B12" s="17" t="inlineStr">
        <is>
          <t>SQLite</t>
        </is>
      </c>
      <c r="C12" s="17" t="inlineStr">
        <is>
          <t>SQLite handles 10,000 records without degradation</t>
        </is>
      </c>
      <c r="D12" s="20" t="inlineStr">
        <is>
          <t>Medium</t>
        </is>
      </c>
      <c r="E12" s="17" t="inlineStr">
        <is>
          <t>Performance</t>
        </is>
      </c>
      <c r="F12" s="17" t="inlineStr">
        <is>
          <t>10,000 student records seeded.</t>
        </is>
      </c>
      <c r="G12" s="17" t="inlineStr">
        <is>
          <t>Run GET /api/students with pagination
Measure response time</t>
        </is>
      </c>
      <c r="H12" s="17" t="inlineStr">
        <is>
          <t>V1: Degrades significantly.</t>
        </is>
      </c>
      <c r="I12" s="17" t="inlineStr">
        <is>
          <t>V2: &lt; 500ms with indexed queries.</t>
        </is>
      </c>
      <c r="J12" s="17" t="inlineStr"/>
      <c r="K12" s="17" t="inlineStr"/>
      <c r="L12" s="17" t="inlineStr"/>
      <c r="M12" s="17" t="inlineStr"/>
      <c r="N12" s="17" t="inlineStr">
        <is>
          <t>SQLite limitation for large scale</t>
        </is>
      </c>
    </row>
    <row r="13" ht="55" customHeight="1">
      <c r="A13" s="7" t="inlineStr">
        <is>
          <t>PERF-010</t>
        </is>
      </c>
      <c r="B13" s="7" t="inlineStr">
        <is>
          <t>Memory</t>
        </is>
      </c>
      <c r="C13" s="7" t="inlineStr">
        <is>
          <t>Server memory stable under sustained load</t>
        </is>
      </c>
      <c r="D13" s="19" t="inlineStr">
        <is>
          <t>High</t>
        </is>
      </c>
      <c r="E13" s="7" t="inlineStr">
        <is>
          <t>Performance</t>
        </is>
      </c>
      <c r="F13" s="7" t="inlineStr">
        <is>
          <t>Load test running 5 minutes.</t>
        </is>
      </c>
      <c r="G13" s="7" t="inlineStr">
        <is>
          <t>Monitor process memory with htop
Run 30 req/s for 5 min</t>
        </is>
      </c>
      <c r="H13" s="7" t="inlineStr">
        <is>
          <t>V1: Memory grows (potential leak).</t>
        </is>
      </c>
      <c r="I13" s="7" t="inlineStr">
        <is>
          <t>V2: Stable memory. No leak.</t>
        </is>
      </c>
      <c r="J13" s="7" t="inlineStr"/>
      <c r="K13" s="7" t="inlineStr"/>
      <c r="L13" s="7" t="inlineStr"/>
      <c r="M13" s="7" t="inlineStr"/>
      <c r="N13" s="7" t="inlineStr"/>
    </row>
    <row r="14" ht="55" customHeight="1">
      <c r="A14" s="17" t="inlineStr">
        <is>
          <t>PERF-011</t>
        </is>
      </c>
      <c r="B14" s="17" t="inlineStr">
        <is>
          <t>Audit Log</t>
        </is>
      </c>
      <c r="C14" s="17" t="inlineStr">
        <is>
          <t>Audit log query performance with 10,000 entries</t>
        </is>
      </c>
      <c r="D14" s="20" t="inlineStr">
        <is>
          <t>Medium</t>
        </is>
      </c>
      <c r="E14" s="17" t="inlineStr">
        <is>
          <t>Performance</t>
        </is>
      </c>
      <c r="F14" s="17" t="inlineStr">
        <is>
          <t>10k audit log entries.</t>
        </is>
      </c>
      <c r="G14" s="17" t="inlineStr">
        <is>
          <t>Load audit log page
Filter by action type</t>
        </is>
      </c>
      <c r="H14" s="17" t="inlineStr">
        <is>
          <t>V1: Slow. No index.</t>
        </is>
      </c>
      <c r="I14" s="17" t="inlineStr">
        <is>
          <t>V2: &lt; 1s with proper DB index on action and timestamp.</t>
        </is>
      </c>
      <c r="J14" s="17" t="inlineStr"/>
      <c r="K14" s="17" t="inlineStr"/>
      <c r="L14" s="17" t="inlineStr"/>
      <c r="M14" s="17" t="inlineStr"/>
      <c r="N14" s="17" t="inlineStr"/>
    </row>
    <row r="15" ht="55" customHeight="1">
      <c r="A15" s="7" t="inlineStr">
        <is>
          <t>PERF-012</t>
        </is>
      </c>
      <c r="B15" s="7" t="inlineStr">
        <is>
          <t>Stress</t>
        </is>
      </c>
      <c r="C15" s="7" t="inlineStr">
        <is>
          <t>System recovers after spike load</t>
        </is>
      </c>
      <c r="D15" s="20" t="inlineStr">
        <is>
          <t>Medium</t>
        </is>
      </c>
      <c r="E15" s="7" t="inlineStr">
        <is>
          <t>Performance</t>
        </is>
      </c>
      <c r="F15" s="7" t="inlineStr">
        <is>
          <t>Load test tool.</t>
        </is>
      </c>
      <c r="G15" s="7" t="inlineStr">
        <is>
          <t>Send 200 req/s burst for 30 seconds
Reduce to normal
Measure recovery time</t>
        </is>
      </c>
      <c r="H15" s="7" t="inlineStr">
        <is>
          <t>V1: May not recover without restart.</t>
        </is>
      </c>
      <c r="I15" s="7" t="inlineStr">
        <is>
          <t>V2: Recovers within 10s. Circuit breaker or queue.</t>
        </is>
      </c>
      <c r="J15" s="7" t="inlineStr"/>
      <c r="K15" s="7" t="inlineStr"/>
      <c r="L15" s="7" t="inlineStr"/>
      <c r="M15" s="7" t="inlineStr"/>
      <c r="N15" s="7" t="inlineStr"/>
    </row>
    <row r="17">
      <c r="A17" s="38" t="inlineStr">
        <is>
          <t>TOTAL TEST CASES: 12</t>
        </is>
      </c>
      <c r="B17" s="22" t="n"/>
      <c r="C17" s="22" t="n"/>
      <c r="D17" s="22" t="n"/>
      <c r="E17" s="23">
        <f>COUNTIF(K4:K15,"✅ PASS")</f>
        <v/>
      </c>
      <c r="F17" s="24">
        <f>COUNTIF(K4:K15,"❌ FAIL")</f>
        <v/>
      </c>
      <c r="G17" s="22" t="inlineStr">
        <is>
          <t>V1 Pass%</t>
        </is>
      </c>
      <c r="H17" s="25">
        <f>IFERROR(E17/(12)*100,0)&amp;"%"</f>
        <v/>
      </c>
      <c r="I17" s="23">
        <f>COUNTIF(M4:M15,"✅ PASS")</f>
        <v/>
      </c>
      <c r="J17" s="24">
        <f>COUNTIF(M4:M15,"❌ FAIL")</f>
        <v/>
      </c>
      <c r="K17" s="22" t="inlineStr">
        <is>
          <t>V2 Pass%</t>
        </is>
      </c>
      <c r="L17" s="25">
        <f>IFERROR(I17/(12)*100,0)&amp;"%"</f>
        <v/>
      </c>
      <c r="M17" s="22" t="n"/>
      <c r="N17" s="22" t="n"/>
    </row>
  </sheetData>
  <mergeCells count="3">
    <mergeCell ref="A17:D17"/>
    <mergeCell ref="A2:N2"/>
    <mergeCell ref="A1:N1"/>
  </mergeCells>
  <dataValidations count="2">
    <dataValidation sqref="K4:K15" showDropDown="0" showInputMessage="0" showErrorMessage="0" allowBlank="0" type="list">
      <formula1>"✅ PASS,❌ FAIL,🔶 BLOCKED,⬜ NOT RUN,➡️ N/A"</formula1>
    </dataValidation>
    <dataValidation sqref="M4:M15" showDropDown="0" showInputMessage="0" showErrorMessage="0" allowBlank="0" type="list">
      <formula1>"✅ PASS,❌ FAIL,🔶 BLOCKED,⬜ NOT RUN,➡️ N/A"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8" customWidth="1" min="4" max="4"/>
    <col width="30" customWidth="1" min="5" max="5"/>
    <col width="28" customWidth="1" min="6" max="6"/>
    <col width="30" customWidth="1" min="7" max="7"/>
    <col width="28" customWidth="1" min="8" max="8"/>
    <col width="30" customWidth="1" min="9" max="9"/>
    <col width="32" customWidth="1" min="10" max="10"/>
    <col width="16" customWidth="1" min="11" max="11"/>
    <col width="15" customWidth="1" min="12" max="12"/>
  </cols>
  <sheetData>
    <row r="1" ht="40" customHeight="1">
      <c r="A1" s="41" t="inlineStr">
        <is>
          <t>🐛  BUG REPORT — SASMS V1 Known Issues &amp; V2 Resolutions</t>
        </is>
      </c>
    </row>
    <row r="2">
      <c r="A2" s="47" t="inlineStr">
        <is>
          <t>Comprehensive technical bug analysis. Each row represents a confirmed defect found in V1 and its resolution status in V2.</t>
        </is>
      </c>
    </row>
    <row r="3" ht="30" customHeight="1">
      <c r="A3" s="42" t="inlineStr">
        <is>
          <t>Bug ID</t>
        </is>
      </c>
      <c r="B3" s="42" t="inlineStr">
        <is>
          <t>Severity</t>
        </is>
      </c>
      <c r="C3" s="42" t="inlineStr">
        <is>
          <t>Module</t>
        </is>
      </c>
      <c r="D3" s="42" t="inlineStr">
        <is>
          <t>Bug Title (V1)</t>
        </is>
      </c>
      <c r="E3" s="42" t="inlineStr">
        <is>
          <t>Root Cause</t>
        </is>
      </c>
      <c r="F3" s="42" t="inlineStr">
        <is>
          <t>Impact</t>
        </is>
      </c>
      <c r="G3" s="42" t="inlineStr">
        <is>
          <t>Steps to Reproduce</t>
        </is>
      </c>
      <c r="H3" s="42" t="inlineStr">
        <is>
          <t>Expected Behavior</t>
        </is>
      </c>
      <c r="I3" s="42" t="inlineStr">
        <is>
          <t>V1 Actual Behavior</t>
        </is>
      </c>
      <c r="J3" s="42" t="inlineStr">
        <is>
          <t>V2 Fix Description</t>
        </is>
      </c>
      <c r="K3" s="42" t="inlineStr">
        <is>
          <t>Fix Type</t>
        </is>
      </c>
      <c r="L3" s="42" t="inlineStr">
        <is>
          <t>Verified Fixed?</t>
        </is>
      </c>
    </row>
    <row r="4" ht="70" customHeight="1">
      <c r="A4" s="7" t="inlineStr">
        <is>
          <t>BUG-001</t>
        </is>
      </c>
      <c r="B4" s="48" t="inlineStr">
        <is>
          <t>Critical</t>
        </is>
      </c>
      <c r="C4" s="7" t="inlineStr">
        <is>
          <t>Auth</t>
        </is>
      </c>
      <c r="D4" s="7" t="inlineStr">
        <is>
          <t>Role mismatch login allows wrong dashboard access</t>
        </is>
      </c>
      <c r="E4" s="7" t="inlineStr">
        <is>
          <t>Server-side role validation missing. JWT role claim not cross-checked against DB role.</t>
        </is>
      </c>
      <c r="F4" s="7" t="inlineStr">
        <is>
          <t>Staff can access student dashboard or vice versa. Data exposure risk.</t>
        </is>
      </c>
      <c r="G4" s="7" t="inlineStr">
        <is>
          <t>1. Login with student credentials
2. Select Staff role
3. Submit</t>
        </is>
      </c>
      <c r="H4" s="7" t="inlineStr">
        <is>
          <t>Access denied. Role mismatch error shown.</t>
        </is>
      </c>
      <c r="I4" s="7" t="inlineStr">
        <is>
          <t>Staff role selected → student credentials accepted → staff dashboard partially loaded.</t>
        </is>
      </c>
      <c r="J4" s="7" t="inlineStr">
        <is>
          <t>Server now validates JWT role against DB role. Mismatch → 401 returned.</t>
        </is>
      </c>
      <c r="K4" s="7" t="inlineStr">
        <is>
          <t>Security Fix</t>
        </is>
      </c>
      <c r="L4" s="49" t="inlineStr">
        <is>
          <t>✅ Fixed in V2</t>
        </is>
      </c>
    </row>
    <row r="5" ht="70" customHeight="1">
      <c r="A5" s="50" t="inlineStr">
        <is>
          <t>BUG-002</t>
        </is>
      </c>
      <c r="B5" s="48" t="inlineStr">
        <is>
          <t>Critical</t>
        </is>
      </c>
      <c r="C5" s="50" t="inlineStr">
        <is>
          <t>Auth</t>
        </is>
      </c>
      <c r="D5" s="50" t="inlineStr">
        <is>
          <t>Missing department scope on student queries</t>
        </is>
      </c>
      <c r="E5" s="50" t="inlineStr">
        <is>
          <t>Staff API queries did not filter by departmentId from JWT payload.</t>
        </is>
      </c>
      <c r="F5" s="50" t="inlineStr">
        <is>
          <t>Staff in Department A can see students from Department B. Privacy violation.</t>
        </is>
      </c>
      <c r="G5" s="50" t="inlineStr">
        <is>
          <t>1. Login as Staff (Dept A)
2. GET /api/students without dept filter</t>
        </is>
      </c>
      <c r="H5" s="50" t="inlineStr">
        <is>
          <t>Only Dept A students returned.</t>
        </is>
      </c>
      <c r="I5" s="50" t="inlineStr">
        <is>
          <t>All students across all departments returned.</t>
        </is>
      </c>
      <c r="J5" s="50" t="inlineStr">
        <is>
          <t>API middleware adds WHERE deptId = req.user.deptId to all student queries.</t>
        </is>
      </c>
      <c r="K5" s="50" t="inlineStr">
        <is>
          <t>Security Fix</t>
        </is>
      </c>
      <c r="L5" s="49" t="inlineStr">
        <is>
          <t>✅ Fixed in V2</t>
        </is>
      </c>
    </row>
    <row r="6" ht="70" customHeight="1">
      <c r="A6" s="7" t="inlineStr">
        <is>
          <t>BUG-003</t>
        </is>
      </c>
      <c r="B6" s="51" t="inlineStr">
        <is>
          <t>High</t>
        </is>
      </c>
      <c r="C6" s="7" t="inlineStr">
        <is>
          <t>Admissions</t>
        </is>
      </c>
      <c r="D6" s="7" t="inlineStr">
        <is>
          <t>V1 simple accept/reject — no pipeline stages</t>
        </is>
      </c>
      <c r="E6" s="7" t="inlineStr">
        <is>
          <t>Admission workflow designed as binary decision. No intermediate stages.</t>
        </is>
      </c>
      <c r="F6" s="7" t="inlineStr">
        <is>
          <t>Cannot track exam scheduling or interviews. Manual processes needed.</t>
        </is>
      </c>
      <c r="G6" s="7" t="inlineStr">
        <is>
          <t>1. Open any applicant
2. Only see Accept/Reject buttons</t>
        </is>
      </c>
      <c r="H6" s="7" t="inlineStr">
        <is>
          <t>Multi-stage pipeline: PENDING → UNDER_REVIEW → EXAM_SCHEDULED → INTERVIEW_SCHEDULED → ACCEPTED/REJECTED</t>
        </is>
      </c>
      <c r="I6" s="7" t="inlineStr">
        <is>
          <t>Only Accept/Reject available. No exam/interview tracking.</t>
        </is>
      </c>
      <c r="J6" s="7" t="inlineStr">
        <is>
          <t>V2 introduced 5-stage pipeline with dedicated API endpoints, DB columns, and email notifications per stage.</t>
        </is>
      </c>
      <c r="K6" s="7" t="inlineStr">
        <is>
          <t>Feature Addition</t>
        </is>
      </c>
      <c r="L6" s="49" t="inlineStr">
        <is>
          <t>✅ Fixed in V2 (New Feature)</t>
        </is>
      </c>
    </row>
    <row r="7" ht="70" customHeight="1">
      <c r="A7" s="50" t="inlineStr">
        <is>
          <t>BUG-004</t>
        </is>
      </c>
      <c r="B7" s="51" t="inlineStr">
        <is>
          <t>High</t>
        </is>
      </c>
      <c r="C7" s="50" t="inlineStr">
        <is>
          <t>Admissions</t>
        </is>
      </c>
      <c r="D7" s="50" t="inlineStr">
        <is>
          <t>Duplicate email registration not blocked</t>
        </is>
      </c>
      <c r="E7" s="50" t="inlineStr">
        <is>
          <t>Backend registration endpoint did not check for existing email uniqueness.</t>
        </is>
      </c>
      <c r="F7" s="50" t="inlineStr">
        <is>
          <t>Multiple accounts with same email. Data integrity issue.</t>
        </is>
      </c>
      <c r="G7" s="50" t="inlineStr">
        <is>
          <t>1. Register with email@test.com
2. Register again with same email</t>
        </is>
      </c>
      <c r="H7" s="50" t="inlineStr">
        <is>
          <t>Error: Email already registered.</t>
        </is>
      </c>
      <c r="I7" s="50" t="inlineStr">
        <is>
          <t>Second registration succeeds. Two accounts with same email created.</t>
        </is>
      </c>
      <c r="J7" s="50" t="inlineStr">
        <is>
          <t>Prisma unique constraint added on email field. Error caught and returned as 409.</t>
        </is>
      </c>
      <c r="K7" s="50" t="inlineStr">
        <is>
          <t>Data Integrity Fix</t>
        </is>
      </c>
      <c r="L7" s="49" t="inlineStr">
        <is>
          <t>✅ Fixed in V2</t>
        </is>
      </c>
    </row>
    <row r="8" ht="70" customHeight="1">
      <c r="A8" s="7" t="inlineStr">
        <is>
          <t>BUG-005</t>
        </is>
      </c>
      <c r="B8" s="51" t="inlineStr">
        <is>
          <t>High</t>
        </is>
      </c>
      <c r="C8" s="7" t="inlineStr">
        <is>
          <t>Admissions</t>
        </is>
      </c>
      <c r="D8" s="7" t="inlineStr">
        <is>
          <t>Duplicate applications possible per user</t>
        </is>
      </c>
      <c r="E8" s="7" t="inlineStr">
        <is>
          <t>No check for existing application before creating new one.</t>
        </is>
      </c>
      <c r="F8" s="7" t="inlineStr">
        <is>
          <t>Applicant can submit multiple applications. Confuses admin review.</t>
        </is>
      </c>
      <c r="G8" s="7" t="inlineStr">
        <is>
          <t>1. Submit application as applicant
2. Submit again</t>
        </is>
      </c>
      <c r="H8" s="7" t="inlineStr">
        <is>
          <t>Error: You already have an active application.</t>
        </is>
      </c>
      <c r="I8" s="7" t="inlineStr">
        <is>
          <t>Second application created. Duplicate in DB.</t>
        </is>
      </c>
      <c r="J8" s="7" t="inlineStr">
        <is>
          <t>Service layer checks for existing application by userId. Returns 409 if found.</t>
        </is>
      </c>
      <c r="K8" s="7" t="inlineStr">
        <is>
          <t>Business Logic Fix</t>
        </is>
      </c>
      <c r="L8" s="49" t="inlineStr">
        <is>
          <t>✅ Fixed in V2</t>
        </is>
      </c>
    </row>
    <row r="9" ht="70" customHeight="1">
      <c r="A9" s="50" t="inlineStr">
        <is>
          <t>BUG-006</t>
        </is>
      </c>
      <c r="B9" s="48" t="inlineStr">
        <is>
          <t>Critical</t>
        </is>
      </c>
      <c r="C9" s="50" t="inlineStr">
        <is>
          <t>Auth</t>
        </is>
      </c>
      <c r="D9" s="50" t="inlineStr">
        <is>
          <t>Expired JWT not invalidated — still grants access</t>
        </is>
      </c>
      <c r="E9" s="50" t="inlineStr">
        <is>
          <t>No token blacklist or refresh token mechanism. Expired tokens accepted by some endpoints.</t>
        </is>
      </c>
      <c r="F9" s="50" t="inlineStr">
        <is>
          <t>Logged-out or expired sessions can still access API. Security risk.</t>
        </is>
      </c>
      <c r="G9" s="50" t="inlineStr">
        <is>
          <t>1. Login
2. Manually expire token (edit exp claim)
3. Make API call</t>
        </is>
      </c>
      <c r="H9" s="50" t="inlineStr">
        <is>
          <t>401 Unauthorized returned.</t>
        </is>
      </c>
      <c r="I9" s="50" t="inlineStr">
        <is>
          <t>Some endpoints accepted the modified token.</t>
        </is>
      </c>
      <c r="J9" s="50" t="inlineStr">
        <is>
          <t>Token expiry strictly validated. Redis-based blacklist for logged-out tokens added.</t>
        </is>
      </c>
      <c r="K9" s="50" t="inlineStr">
        <is>
          <t>Security Fix</t>
        </is>
      </c>
      <c r="L9" s="49" t="inlineStr">
        <is>
          <t>✅ Fixed in V2</t>
        </is>
      </c>
    </row>
    <row r="10" ht="70" customHeight="1">
      <c r="A10" s="7" t="inlineStr">
        <is>
          <t>BUG-007</t>
        </is>
      </c>
      <c r="B10" s="48" t="inlineStr">
        <is>
          <t>Critical</t>
        </is>
      </c>
      <c r="C10" s="7" t="inlineStr">
        <is>
          <t>Finances</t>
        </is>
      </c>
      <c r="D10" s="7" t="inlineStr">
        <is>
          <t>No fee override role restriction</t>
        </is>
      </c>
      <c r="E10" s="7" t="inlineStr">
        <is>
          <t>Fee override endpoint did not validate SUPER_ADMIN role in middleware.</t>
        </is>
      </c>
      <c r="F10" s="7" t="inlineStr">
        <is>
          <t>Any staff member can override student fees. Financial manipulation risk.</t>
        </is>
      </c>
      <c r="G10" s="7" t="inlineStr">
        <is>
          <t>1. Login as Staff
2. POST /api/finances/override with staff JWT</t>
        </is>
      </c>
      <c r="H10" s="7" t="inlineStr">
        <is>
          <t>403 Forbidden.</t>
        </is>
      </c>
      <c r="I10" s="7" t="inlineStr">
        <is>
          <t>200 OK. Override applied.</t>
        </is>
      </c>
      <c r="J10" s="7" t="inlineStr">
        <is>
          <t>Role middleware added. Only SUPER_ADMIN role accepted on override endpoint.</t>
        </is>
      </c>
      <c r="K10" s="7" t="inlineStr">
        <is>
          <t>Security Fix</t>
        </is>
      </c>
      <c r="L10" s="49" t="inlineStr">
        <is>
          <t>✅ Fixed in V2</t>
        </is>
      </c>
    </row>
    <row r="11" ht="70" customHeight="1">
      <c r="A11" s="50" t="inlineStr">
        <is>
          <t>BUG-008</t>
        </is>
      </c>
      <c r="B11" s="51" t="inlineStr">
        <is>
          <t>High</t>
        </is>
      </c>
      <c r="C11" s="50" t="inlineStr">
        <is>
          <t>Finances</t>
        </is>
      </c>
      <c r="D11" s="50" t="inlineStr">
        <is>
          <t>Overpayment creates negative balance with no error</t>
        </is>
      </c>
      <c r="E11" s="50" t="inlineStr">
        <is>
          <t>Balance calculation: outstanding = fee - payments did not have lower-bound check.</t>
        </is>
      </c>
      <c r="F11" s="50" t="inlineStr">
        <is>
          <t>Negative balance shown. Incorrect financial reporting.</t>
        </is>
      </c>
      <c r="G11" s="50" t="inlineStr">
        <is>
          <t>1. Set fee = 1000
2. Record payment = 2000</t>
        </is>
      </c>
      <c r="H11" s="50" t="inlineStr">
        <is>
          <t>Warning: Overpayment. Credit balance = 1000. No further payment needed.</t>
        </is>
      </c>
      <c r="I11" s="50" t="inlineStr">
        <is>
          <t>Outstanding balance shows -1000. No warning.</t>
        </is>
      </c>
      <c r="J11" s="50" t="inlineStr">
        <is>
          <t>Balance validation added. Overpayment triggers credit flag and warning toast.</t>
        </is>
      </c>
      <c r="K11" s="50" t="inlineStr">
        <is>
          <t>Business Logic Fix</t>
        </is>
      </c>
      <c r="L11" s="49" t="inlineStr">
        <is>
          <t>✅ Fixed in V2</t>
        </is>
      </c>
    </row>
    <row r="12" ht="70" customHeight="1">
      <c r="A12" s="7" t="inlineStr">
        <is>
          <t>BUG-009</t>
        </is>
      </c>
      <c r="B12" s="51" t="inlineStr">
        <is>
          <t>High</t>
        </is>
      </c>
      <c r="C12" s="7" t="inlineStr">
        <is>
          <t>Attendance</t>
        </is>
      </c>
      <c r="D12" s="7" t="inlineStr">
        <is>
          <t>GPS location not validated — students can mark from anywhere</t>
        </is>
      </c>
      <c r="E12" s="7" t="inlineStr">
        <is>
          <t>QR scan endpoint did not validate student GPS coordinates against session GPS.</t>
        </is>
      </c>
      <c r="F12" s="7" t="inlineStr">
        <is>
          <t>Remote students can mark themselves present from home.</t>
        </is>
      </c>
      <c r="G12" s="7" t="inlineStr">
        <is>
          <t>1. Create GPS-enabled session
2. Scan QR from 10km away</t>
        </is>
      </c>
      <c r="H12" s="7" t="inlineStr">
        <is>
          <t>Rejected: You are too far from the classroom.</t>
        </is>
      </c>
      <c r="I12" s="7" t="inlineStr">
        <is>
          <t>Attendance marked as PRESENT regardless of location.</t>
        </is>
      </c>
      <c r="J12" s="7" t="inlineStr">
        <is>
          <t>Distance calculation added. Haversine formula. Max allowed distance configurable.</t>
        </is>
      </c>
      <c r="K12" s="7" t="inlineStr">
        <is>
          <t>Security Fix</t>
        </is>
      </c>
      <c r="L12" s="49" t="inlineStr">
        <is>
          <t>✅ Fixed in V2</t>
        </is>
      </c>
    </row>
    <row r="13" ht="70" customHeight="1">
      <c r="A13" s="50" t="inlineStr">
        <is>
          <t>BUG-010</t>
        </is>
      </c>
      <c r="B13" s="51" t="inlineStr">
        <is>
          <t>High</t>
        </is>
      </c>
      <c r="C13" s="50" t="inlineStr">
        <is>
          <t>Attendance</t>
        </is>
      </c>
      <c r="D13" s="50" t="inlineStr">
        <is>
          <t>Duplicate QR scan creates multiple attendance records</t>
        </is>
      </c>
      <c r="E13" s="50" t="inlineStr">
        <is>
          <t>No idempotency check on attendance marking endpoint.</t>
        </is>
      </c>
      <c r="F13" s="50" t="inlineStr">
        <is>
          <t>Student appears PRESENT twice in report. Count inflated.</t>
        </is>
      </c>
      <c r="G13" s="50" t="inlineStr">
        <is>
          <t>1. Mark attendance
2. Scan QR again in same session</t>
        </is>
      </c>
      <c r="H13" s="50" t="inlineStr">
        <is>
          <t>Error: Already marked for this session.</t>
        </is>
      </c>
      <c r="I13" s="50" t="inlineStr">
        <is>
          <t>Second record created. Duplicate entries in DB.</t>
        </is>
      </c>
      <c r="J13" s="50" t="inlineStr">
        <is>
          <t>Unique constraint on (sessionId, studentId). Duplicate → 409 returned.</t>
        </is>
      </c>
      <c r="K13" s="50" t="inlineStr">
        <is>
          <t>Data Integrity Fix</t>
        </is>
      </c>
      <c r="L13" s="49" t="inlineStr">
        <is>
          <t>✅ Fixed in V2</t>
        </is>
      </c>
    </row>
    <row r="14" ht="70" customHeight="1">
      <c r="A14" s="7" t="inlineStr">
        <is>
          <t>BUG-011</t>
        </is>
      </c>
      <c r="B14" s="51" t="inlineStr">
        <is>
          <t>High</t>
        </is>
      </c>
      <c r="C14" s="7" t="inlineStr">
        <is>
          <t>Complaints</t>
        </is>
      </c>
      <c r="D14" s="7" t="inlineStr">
        <is>
          <t>Student can see all complaints (not just own)</t>
        </is>
      </c>
      <c r="E14" s="7" t="inlineStr">
        <is>
          <t>GET /api/complaints endpoint returned all records without user filter.</t>
        </is>
      </c>
      <c r="F14" s="7" t="inlineStr">
        <is>
          <t>Students can view sensitive complaints from other students.</t>
        </is>
      </c>
      <c r="G14" s="7" t="inlineStr">
        <is>
          <t>1. Login as Student A
2. GET /api/complaints</t>
        </is>
      </c>
      <c r="H14" s="7" t="inlineStr">
        <is>
          <t>Only Student A complaints returned.</t>
        </is>
      </c>
      <c r="I14" s="7" t="inlineStr">
        <is>
          <t>All complaints from all students returned.</t>
        </is>
      </c>
      <c r="J14" s="7" t="inlineStr">
        <is>
          <t>Added WHERE userId = req.user.id filter on complaints query.</t>
        </is>
      </c>
      <c r="K14" s="7" t="inlineStr">
        <is>
          <t>Security Fix</t>
        </is>
      </c>
      <c r="L14" s="49" t="inlineStr">
        <is>
          <t>✅ Fixed in V2</t>
        </is>
      </c>
    </row>
    <row r="15" ht="70" customHeight="1">
      <c r="A15" s="50" t="inlineStr">
        <is>
          <t>BUG-012</t>
        </is>
      </c>
      <c r="B15" s="52" t="inlineStr">
        <is>
          <t>Medium</t>
        </is>
      </c>
      <c r="C15" s="50" t="inlineStr">
        <is>
          <t>Dashboard</t>
        </is>
      </c>
      <c r="D15" s="50" t="inlineStr">
        <is>
          <t>KPI cards show hardcoded mock data</t>
        </is>
      </c>
      <c r="E15" s="50" t="inlineStr">
        <is>
          <t>MOCK_STATS object used in admin/page.tsx instead of API call.</t>
        </is>
      </c>
      <c r="F15" s="50" t="inlineStr">
        <is>
          <t>Dashboard always shows same numbers regardless of actual data. Misleading.</t>
        </is>
      </c>
      <c r="G15" s="50" t="inlineStr">
        <is>
          <t>1. Login as Admin
2. View dashboard stats</t>
        </is>
      </c>
      <c r="H15" s="50" t="inlineStr">
        <is>
          <t>Live counts from DB (students, fees, complaints).</t>
        </is>
      </c>
      <c r="I15" s="50" t="inlineStr">
        <is>
          <t>Always shows: totalStudents=1540, pendingApps=12, outstandingFees=45, openComplaints=7.</t>
        </is>
      </c>
      <c r="J15" s="50" t="inlineStr">
        <is>
          <t>Replaced MOCK_STATS with async API calls to /api/stats endpoint.</t>
        </is>
      </c>
      <c r="K15" s="50" t="inlineStr">
        <is>
          <t>Data Fix</t>
        </is>
      </c>
      <c r="L15" s="49" t="inlineStr">
        <is>
          <t>✅ Fixed in V2</t>
        </is>
      </c>
    </row>
    <row r="16" ht="70" customHeight="1">
      <c r="A16" s="7" t="inlineStr">
        <is>
          <t>BUG-013</t>
        </is>
      </c>
      <c r="B16" s="52" t="inlineStr">
        <is>
          <t>Medium</t>
        </is>
      </c>
      <c r="C16" s="7" t="inlineStr">
        <is>
          <t>Attendance</t>
        </is>
      </c>
      <c r="D16" s="7" t="inlineStr">
        <is>
          <t>Absent not auto-marked when session ends</t>
        </is>
      </c>
      <c r="E16" s="7" t="inlineStr">
        <is>
          <t>No scheduled job or post-session hook to mark unscanned students absent.</t>
        </is>
      </c>
      <c r="F16" s="7" t="inlineStr">
        <is>
          <t>Students who skip session show as null status instead of ABSENT.</t>
        </is>
      </c>
      <c r="G16" s="7" t="inlineStr">
        <is>
          <t>1. Create session
2. Let it expire without some students scanning</t>
        </is>
      </c>
      <c r="H16" s="7" t="inlineStr">
        <is>
          <t>Students who did not scan auto-marked ABSENT.</t>
        </is>
      </c>
      <c r="I16" s="7" t="inlineStr">
        <is>
          <t>Students show no status. Attendance report incomplete.</t>
        </is>
      </c>
      <c r="J16" s="7" t="inlineStr">
        <is>
          <t>autoMarkAbsent() function added. Called on session close or scheduled 5 min after end.</t>
        </is>
      </c>
      <c r="K16" s="7" t="inlineStr">
        <is>
          <t>Feature Fix</t>
        </is>
      </c>
      <c r="L16" s="49" t="inlineStr">
        <is>
          <t>✅ Fixed in V2</t>
        </is>
      </c>
    </row>
    <row r="17" ht="70" customHeight="1">
      <c r="A17" s="50" t="inlineStr">
        <is>
          <t>BUG-014</t>
        </is>
      </c>
      <c r="B17" s="52" t="inlineStr">
        <is>
          <t>Medium</t>
        </is>
      </c>
      <c r="C17" s="50" t="inlineStr">
        <is>
          <t>XSS</t>
        </is>
      </c>
      <c r="D17" s="50" t="inlineStr">
        <is>
          <t>XSS injection via name field in profile</t>
        </is>
      </c>
      <c r="E17" s="50" t="inlineStr">
        <is>
          <t>User input rendered directly in JSX without sanitization.</t>
        </is>
      </c>
      <c r="F17" s="50" t="inlineStr">
        <is>
          <t>Attacker injects JavaScript via profile name. Executes for all who view the profile.</t>
        </is>
      </c>
      <c r="G17" s="50" t="inlineStr">
        <is>
          <t>1. Set name = &lt;script&gt;alert('XSS')&lt;/script&gt;
2. View profile</t>
        </is>
      </c>
      <c r="H17" s="50" t="inlineStr">
        <is>
          <t>Script displayed as text. Not executed.</t>
        </is>
      </c>
      <c r="I17" s="50" t="inlineStr">
        <is>
          <t>Alert dialog appears. XSS successful.</t>
        </is>
      </c>
      <c r="J17" s="50" t="inlineStr">
        <is>
          <t>DOMPurify sanitization added on all user-input rendered fields.</t>
        </is>
      </c>
      <c r="K17" s="50" t="inlineStr">
        <is>
          <t>Security Fix</t>
        </is>
      </c>
      <c r="L17" s="49" t="inlineStr">
        <is>
          <t>✅ Fixed in V2</t>
        </is>
      </c>
    </row>
    <row r="18" ht="70" customHeight="1">
      <c r="A18" s="7" t="inlineStr">
        <is>
          <t>BUG-015</t>
        </is>
      </c>
      <c r="B18" s="51" t="inlineStr">
        <is>
          <t>High</t>
        </is>
      </c>
      <c r="C18" s="7" t="inlineStr">
        <is>
          <t>Security</t>
        </is>
      </c>
      <c r="D18" s="7" t="inlineStr">
        <is>
          <t>No rate limiting on login endpoint</t>
        </is>
      </c>
      <c r="E18" s="7" t="inlineStr">
        <is>
          <t>Express route had no rate limiter middleware.</t>
        </is>
      </c>
      <c r="F18" s="7" t="inlineStr">
        <is>
          <t>Brute force attacks possible. Credential enumeration easy.</t>
        </is>
      </c>
      <c r="G18" s="7" t="inlineStr">
        <is>
          <t>1. Send 100 POST /api/auth/login requests rapidly</t>
        </is>
      </c>
      <c r="H18" s="7" t="inlineStr">
        <is>
          <t>429 Too Many Requests after 5 failures. 15-min cooldown.</t>
        </is>
      </c>
      <c r="I18" s="7" t="inlineStr">
        <is>
          <t>All 100 requests return 200 or 401. No throttling.</t>
        </is>
      </c>
      <c r="J18" s="7" t="inlineStr">
        <is>
          <t>express-rate-limit added. 5 login attempts per 15 minutes per IP.</t>
        </is>
      </c>
      <c r="K18" s="7" t="inlineStr">
        <is>
          <t>Security Fix</t>
        </is>
      </c>
      <c r="L18" s="49" t="inlineStr">
        <is>
          <t>✅ Fixed in V2</t>
        </is>
      </c>
    </row>
    <row r="19" ht="70" customHeight="1">
      <c r="A19" s="50" t="inlineStr">
        <is>
          <t>BUG-016</t>
        </is>
      </c>
      <c r="B19" s="52" t="inlineStr">
        <is>
          <t>Medium</t>
        </is>
      </c>
      <c r="C19" s="50" t="inlineStr">
        <is>
          <t>Files</t>
        </is>
      </c>
      <c r="D19" s="50" t="inlineStr">
        <is>
          <t>Invalid file types accepted in document upload</t>
        </is>
      </c>
      <c r="E19" s="50" t="inlineStr">
        <is>
          <t>Upload endpoint checked file extension only (client-side bypass possible).</t>
        </is>
      </c>
      <c r="F19" s="50" t="inlineStr">
        <is>
          <t>Malicious executables uploadable. Server-side code execution risk.</t>
        </is>
      </c>
      <c r="G19" s="50" t="inlineStr">
        <is>
          <t>1. Rename malware.exe to document.pdf
2. Upload</t>
        </is>
      </c>
      <c r="H19" s="50" t="inlineStr">
        <is>
          <t>File type rejected. MIME validation error.</t>
        </is>
      </c>
      <c r="I19" s="50" t="inlineStr">
        <is>
          <t>File accepted and stored.</t>
        </is>
      </c>
      <c r="J19" s="50" t="inlineStr">
        <is>
          <t>Server-side MIME type validation using file-type library. Extension-only check removed.</t>
        </is>
      </c>
      <c r="K19" s="50" t="inlineStr">
        <is>
          <t>Security Fix</t>
        </is>
      </c>
      <c r="L19" s="49" t="inlineStr">
        <is>
          <t>✅ Fixed in V2</t>
        </is>
      </c>
    </row>
    <row r="20" ht="70" customHeight="1">
      <c r="A20" s="7" t="inlineStr">
        <is>
          <t>BUG-017</t>
        </is>
      </c>
      <c r="B20" s="52" t="inlineStr">
        <is>
          <t>Medium</t>
        </is>
      </c>
      <c r="C20" s="7" t="inlineStr">
        <is>
          <t>Audit</t>
        </is>
      </c>
      <c r="D20" s="7" t="inlineStr">
        <is>
          <t>Admission acceptance not logged in AuditLog</t>
        </is>
      </c>
      <c r="E20" s="7" t="inlineStr">
        <is>
          <t>applicationService.accept() did not call auditLog.create() after status change.</t>
        </is>
      </c>
      <c r="F20" s="7" t="inlineStr">
        <is>
          <t>No traceability of who accepted/rejected applicants.</t>
        </is>
      </c>
      <c r="G20" s="7" t="inlineStr">
        <is>
          <t>1. Accept an applicant
2. Check AuditLog table</t>
        </is>
      </c>
      <c r="H20" s="7" t="inlineStr">
        <is>
          <t>ACCEPT_APPLICANT event in AuditLog with actorId, targetId, timestamp.</t>
        </is>
      </c>
      <c r="I20" s="7" t="inlineStr">
        <is>
          <t>No entry created in AuditLog for admission decisions.</t>
        </is>
      </c>
      <c r="J20" s="7" t="inlineStr">
        <is>
          <t>auditLog.create() calls added to all admission lifecycle methods.</t>
        </is>
      </c>
      <c r="K20" s="7" t="inlineStr">
        <is>
          <t>Audit Fix</t>
        </is>
      </c>
      <c r="L20" s="49" t="inlineStr">
        <is>
          <t>✅ Fixed in V2</t>
        </is>
      </c>
    </row>
    <row r="21" ht="70" customHeight="1">
      <c r="A21" s="50" t="inlineStr">
        <is>
          <t>BUG-018</t>
        </is>
      </c>
      <c r="B21" s="51" t="inlineStr">
        <is>
          <t>High</t>
        </is>
      </c>
      <c r="C21" s="50" t="inlineStr">
        <is>
          <t>Auth</t>
        </is>
      </c>
      <c r="D21" s="50" t="inlineStr">
        <is>
          <t>Session not fully destroyed on logout — JWT reusable</t>
        </is>
      </c>
      <c r="E21" s="50" t="inlineStr">
        <is>
          <t>Logout only cleared client-side token. No server-side invalidation.</t>
        </is>
      </c>
      <c r="F21" s="50" t="inlineStr">
        <is>
          <t>Stolen token remains valid until natural expiry.</t>
        </is>
      </c>
      <c r="G21" s="50" t="inlineStr">
        <is>
          <t>1. Copy JWT
2. Logout
3. Use copied JWT in API call</t>
        </is>
      </c>
      <c r="H21" s="50" t="inlineStr">
        <is>
          <t>API returns 401. Token invalidated.</t>
        </is>
      </c>
      <c r="I21" s="50" t="inlineStr">
        <is>
          <t>API call succeeds. Session effectively still active.</t>
        </is>
      </c>
      <c r="J21" s="50" t="inlineStr">
        <is>
          <t>Token blacklist via Redis. logout() adds token to blacklist. All requests check blacklist.</t>
        </is>
      </c>
      <c r="K21" s="50" t="inlineStr">
        <is>
          <t>Security Fix</t>
        </is>
      </c>
      <c r="L21" s="49" t="inlineStr">
        <is>
          <t>✅ Fixed in V2</t>
        </is>
      </c>
    </row>
    <row r="22" ht="70" customHeight="1">
      <c r="A22" s="7" t="inlineStr">
        <is>
          <t>BUG-019</t>
        </is>
      </c>
      <c r="B22" s="52" t="inlineStr">
        <is>
          <t>Medium</t>
        </is>
      </c>
      <c r="C22" s="7" t="inlineStr">
        <is>
          <t>Grades</t>
        </is>
      </c>
      <c r="D22" s="7" t="inlineStr">
        <is>
          <t>Grade value out of range (0-100) accepted</t>
        </is>
      </c>
      <c r="E22" s="7" t="inlineStr">
        <is>
          <t>Grade creation endpoint had no validation on value field.</t>
        </is>
      </c>
      <c r="F22" s="7" t="inlineStr">
        <is>
          <t>Grades of 500, -10 stored. Report cards show invalid values.</t>
        </is>
      </c>
      <c r="G22" s="7" t="inlineStr">
        <is>
          <t>1. POST /api/grades with value: 999</t>
        </is>
      </c>
      <c r="H22" s="7" t="inlineStr">
        <is>
          <t>400 Bad Request: Grade must be between 0 and 100.</t>
        </is>
      </c>
      <c r="I22" s="7" t="inlineStr">
        <is>
          <t>201 Created. Grade 999 stored in DB.</t>
        </is>
      </c>
      <c r="J22" s="7" t="inlineStr">
        <is>
          <t>Zod validation schema updated with z.number().min(0).max(100) on grade field.</t>
        </is>
      </c>
      <c r="K22" s="7" t="inlineStr">
        <is>
          <t>Validation Fix</t>
        </is>
      </c>
      <c r="L22" s="49" t="inlineStr">
        <is>
          <t>✅ Fixed in V2</t>
        </is>
      </c>
    </row>
    <row r="23" ht="70" customHeight="1">
      <c r="A23" s="50" t="inlineStr">
        <is>
          <t>BUG-020</t>
        </is>
      </c>
      <c r="B23" s="48" t="inlineStr">
        <is>
          <t>Critical</t>
        </is>
      </c>
      <c r="C23" s="50" t="inlineStr">
        <is>
          <t>IDOR</t>
        </is>
      </c>
      <c r="D23" s="50" t="inlineStr">
        <is>
          <t>Student can access other students profile via ID manipulation</t>
        </is>
      </c>
      <c r="E23" s="50" t="inlineStr">
        <is>
          <t>GET /api/students/:id did not verify requesting user owns the resource.</t>
        </is>
      </c>
      <c r="F23" s="50" t="inlineStr">
        <is>
          <t>Any student can view any other student full profile and grades.</t>
        </is>
      </c>
      <c r="G23" s="50" t="inlineStr">
        <is>
          <t>1. Login as Student A (ID=1)
2. GET /api/students/2</t>
        </is>
      </c>
      <c r="H23" s="50" t="inlineStr">
        <is>
          <t>403 Forbidden.</t>
        </is>
      </c>
      <c r="I23" s="50" t="inlineStr">
        <is>
          <t>Student B full profile returned to Student A.</t>
        </is>
      </c>
      <c r="J23" s="50" t="inlineStr">
        <is>
          <t>Ownership check added: if (student.userId !== req.user.id &amp;&amp; req.user.role !== ADMIN) return 403.</t>
        </is>
      </c>
      <c r="K23" s="50" t="inlineStr">
        <is>
          <t>Security Fix</t>
        </is>
      </c>
      <c r="L23" s="49" t="inlineStr">
        <is>
          <t>✅ Fixed in V2</t>
        </is>
      </c>
    </row>
    <row r="25">
      <c r="A25" s="53" t="inlineStr">
        <is>
          <t>TOTAL BUGS: 20</t>
        </is>
      </c>
      <c r="B25" s="22" t="n"/>
      <c r="C25" s="22" t="n"/>
      <c r="D25" s="54">
        <f>COUNTIF(B4:B23,"Critical")</f>
        <v/>
      </c>
      <c r="E25" s="55">
        <f>COUNTIF(B4:B23,"High")</f>
        <v/>
      </c>
      <c r="F25" s="56">
        <f>COUNTIF(B4:B23,"Medium")</f>
        <v/>
      </c>
      <c r="G25" s="57">
        <f>COUNTIF(L4:L23,"✅ Fixed in V2")</f>
        <v/>
      </c>
      <c r="H25" s="22" t="n"/>
      <c r="I25" s="22" t="n"/>
      <c r="J25" s="22" t="n"/>
      <c r="K25" s="22" t="n"/>
      <c r="L25" s="22" t="n"/>
    </row>
  </sheetData>
  <mergeCells count="3">
    <mergeCell ref="A25:C25"/>
    <mergeCell ref="A2:L2"/>
    <mergeCell ref="A1:L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40" customWidth="1" min="4" max="4"/>
    <col width="12" customWidth="1" min="5" max="5"/>
    <col width="10" customWidth="1" min="6" max="6"/>
    <col width="12" customWidth="1" min="7" max="7"/>
    <col width="12" customWidth="1" min="8" max="8"/>
    <col width="28" customWidth="1" min="9" max="9"/>
    <col width="32" customWidth="1" min="10" max="10"/>
    <col width="38" customWidth="1" min="11" max="11"/>
    <col width="12" customWidth="1" min="12" max="12"/>
    <col width="18" customWidth="1" min="13" max="13"/>
  </cols>
  <sheetData>
    <row r="1" ht="40" customHeight="1">
      <c r="A1" s="58" t="inlineStr">
        <is>
          <t>⚠️  RISK ANALYSIS REPORT — SASMS Future Risk Assessment &amp; Technical Recommendations</t>
        </is>
      </c>
    </row>
    <row r="2">
      <c r="A2" s="59" t="inlineStr">
        <is>
          <t>Proactive identification of architectural, security, and scalability risks. Each risk rated by Likelihood × Impact.</t>
        </is>
      </c>
    </row>
    <row r="3" ht="40" customHeight="1">
      <c r="A3" s="37" t="inlineStr">
        <is>
          <t>Risk ID</t>
        </is>
      </c>
      <c r="B3" s="37" t="inlineStr">
        <is>
          <t>Category</t>
        </is>
      </c>
      <c r="C3" s="37" t="inlineStr">
        <is>
          <t>Risk Title</t>
        </is>
      </c>
      <c r="D3" s="37" t="inlineStr">
        <is>
          <t>Description</t>
        </is>
      </c>
      <c r="E3" s="37" t="inlineStr">
        <is>
          <t>Likelihood
(1-5)</t>
        </is>
      </c>
      <c r="F3" s="37" t="inlineStr">
        <is>
          <t>Impact
(1-5)</t>
        </is>
      </c>
      <c r="G3" s="37" t="inlineStr">
        <is>
          <t>Risk Score
(L×I)</t>
        </is>
      </c>
      <c r="H3" s="37" t="inlineStr">
        <is>
          <t>Risk Level</t>
        </is>
      </c>
      <c r="I3" s="37" t="inlineStr">
        <is>
          <t>Affected Modules</t>
        </is>
      </c>
      <c r="J3" s="37" t="inlineStr">
        <is>
          <t>Current Mitigation (V2)</t>
        </is>
      </c>
      <c r="K3" s="37" t="inlineStr">
        <is>
          <t>Recommended Action</t>
        </is>
      </c>
      <c r="L3" s="37" t="inlineStr">
        <is>
          <t>Priority</t>
        </is>
      </c>
      <c r="M3" s="37" t="inlineStr">
        <is>
          <t>Owner</t>
        </is>
      </c>
    </row>
    <row r="4" ht="75" customHeight="1">
      <c r="A4" s="7" t="inlineStr">
        <is>
          <t>RSK-001</t>
        </is>
      </c>
      <c r="B4" s="7" t="inlineStr">
        <is>
          <t>Scalability</t>
        </is>
      </c>
      <c r="C4" s="7" t="inlineStr">
        <is>
          <t>SQLite single-file DB bottleneck at scale</t>
        </is>
      </c>
      <c r="D4" s="7" t="inlineStr">
        <is>
          <t>SQLite has write-lock limitations and is unsuitable for concurrent multi-user production workloads. As student count grows beyond 5,000, performance will degrade significantly.</t>
        </is>
      </c>
      <c r="E4" s="7" t="n">
        <v>5</v>
      </c>
      <c r="F4" s="7" t="n">
        <v>5</v>
      </c>
      <c r="G4" s="60">
        <f>E4*F4</f>
        <v/>
      </c>
      <c r="H4" s="61" t="inlineStr">
        <is>
          <t>Critical</t>
        </is>
      </c>
      <c r="I4" s="7" t="inlineStr">
        <is>
          <t>Admin Dashboard, Finances, Attendance, Admissions</t>
        </is>
      </c>
      <c r="J4" s="7" t="inlineStr">
        <is>
          <t>None. SQLite used in production (dev.db).</t>
        </is>
      </c>
      <c r="K4" s="7" t="inlineStr">
        <is>
          <t>URGENT: Migrate to PostgreSQL or MySQL. Use Prisma — migration is straightforward. Implement connection pooling (PgBouncer).</t>
        </is>
      </c>
      <c r="L4" s="62" t="inlineStr">
        <is>
          <t>Critical</t>
        </is>
      </c>
      <c r="M4" s="7" t="inlineStr">
        <is>
          <t>Database Architect</t>
        </is>
      </c>
    </row>
    <row r="5" ht="75" customHeight="1">
      <c r="A5" s="63" t="inlineStr">
        <is>
          <t>RSK-002</t>
        </is>
      </c>
      <c r="B5" s="63" t="inlineStr">
        <is>
          <t>Security</t>
        </is>
      </c>
      <c r="C5" s="63" t="inlineStr">
        <is>
          <t>JWT stored in localStorage — XSS token theft</t>
        </is>
      </c>
      <c r="D5" s="63" t="inlineStr">
        <is>
          <t>If JWT is stored in localStorage (common in React SPAs), any XSS vulnerability allows full token theft, enabling account takeover.</t>
        </is>
      </c>
      <c r="E5" s="63" t="n">
        <v>4</v>
      </c>
      <c r="F5" s="63" t="n">
        <v>5</v>
      </c>
      <c r="G5" s="64">
        <f>E5*F5</f>
        <v/>
      </c>
      <c r="H5" s="61" t="inlineStr">
        <is>
          <t>Critical</t>
        </is>
      </c>
      <c r="I5" s="63" t="inlineStr">
        <is>
          <t>All modules (Auth)</t>
        </is>
      </c>
      <c r="J5" s="63" t="inlineStr">
        <is>
          <t>XSS sanitization added in V2. Some protection.</t>
        </is>
      </c>
      <c r="K5" s="63" t="inlineStr">
        <is>
          <t>Move JWT to HttpOnly cookies. Implement CSRF protection alongside. Use short-lived access tokens (15min) + refresh token rotation.</t>
        </is>
      </c>
      <c r="L5" s="62" t="inlineStr">
        <is>
          <t>Critical</t>
        </is>
      </c>
      <c r="M5" s="63" t="inlineStr">
        <is>
          <t>Security Lead</t>
        </is>
      </c>
    </row>
    <row r="6" ht="75" customHeight="1">
      <c r="A6" s="7" t="inlineStr">
        <is>
          <t>RSK-003</t>
        </is>
      </c>
      <c r="B6" s="7" t="inlineStr">
        <is>
          <t>Security</t>
        </is>
      </c>
      <c r="C6" s="7" t="inlineStr">
        <is>
          <t>No Content Security Policy (CSP) header</t>
        </is>
      </c>
      <c r="D6" s="7" t="inlineStr">
        <is>
          <t>Without CSP, browsers do not restrict which external scripts/styles can be loaded, increasing XSS and data injection attack surface.</t>
        </is>
      </c>
      <c r="E6" s="7" t="n">
        <v>3</v>
      </c>
      <c r="F6" s="7" t="n">
        <v>4</v>
      </c>
      <c r="G6" s="60">
        <f>E6*F6</f>
        <v/>
      </c>
      <c r="H6" s="65" t="inlineStr">
        <is>
          <t>High</t>
        </is>
      </c>
      <c r="I6" s="7" t="inlineStr">
        <is>
          <t>All pages</t>
        </is>
      </c>
      <c r="J6" s="7" t="inlineStr">
        <is>
          <t>Helmet.js added in V2 (partial).</t>
        </is>
      </c>
      <c r="K6" s="7" t="inlineStr">
        <is>
          <t>Define strict CSP: default-src self; script-src self nonce-{...}. Test all MUI components work with CSP.</t>
        </is>
      </c>
      <c r="L6" s="66" t="inlineStr">
        <is>
          <t>High</t>
        </is>
      </c>
      <c r="M6" s="7" t="inlineStr">
        <is>
          <t>DevOps / Backend</t>
        </is>
      </c>
    </row>
    <row r="7" ht="75" customHeight="1">
      <c r="A7" s="63" t="inlineStr">
        <is>
          <t>RSK-004</t>
        </is>
      </c>
      <c r="B7" s="63" t="inlineStr">
        <is>
          <t>Scalability</t>
        </is>
      </c>
      <c r="C7" s="63" t="inlineStr">
        <is>
          <t>File storage uses local disk — not production-ready</t>
        </is>
      </c>
      <c r="D7" s="63" t="inlineStr">
        <is>
          <t>Uploaded documents stored on local server disk. No backup, not shareable across multiple server instances, no CDN delivery.</t>
        </is>
      </c>
      <c r="E7" s="63" t="n">
        <v>5</v>
      </c>
      <c r="F7" s="63" t="n">
        <v>4</v>
      </c>
      <c r="G7" s="64">
        <f>E7*F7</f>
        <v/>
      </c>
      <c r="H7" s="61" t="inlineStr">
        <is>
          <t>Critical</t>
        </is>
      </c>
      <c r="I7" s="63" t="inlineStr">
        <is>
          <t>Admissions (document upload), Student Affairs</t>
        </is>
      </c>
      <c r="J7" s="63" t="inlineStr">
        <is>
          <t>None.</t>
        </is>
      </c>
      <c r="K7" s="63" t="inlineStr">
        <is>
          <t>Migrate to cloud object storage: AWS S3, Cloudflare R2, or MinIO (self-hosted). Use signed URLs for access control.</t>
        </is>
      </c>
      <c r="L7" s="66" t="inlineStr">
        <is>
          <t>High</t>
        </is>
      </c>
      <c r="M7" s="63" t="inlineStr">
        <is>
          <t>Backend Team</t>
        </is>
      </c>
    </row>
    <row r="8" ht="75" customHeight="1">
      <c r="A8" s="7" t="inlineStr">
        <is>
          <t>RSK-005</t>
        </is>
      </c>
      <c r="B8" s="7" t="inlineStr">
        <is>
          <t>Security</t>
        </is>
      </c>
      <c r="C8" s="7" t="inlineStr">
        <is>
          <t>No two-factor authentication (2FA) for admin accounts</t>
        </is>
      </c>
      <c r="D8" s="7" t="inlineStr">
        <is>
          <t>SuperAdmin and Staff accounts have no 2FA. Single factor (password) is the only protection against account takeover.</t>
        </is>
      </c>
      <c r="E8" s="7" t="n">
        <v>4</v>
      </c>
      <c r="F8" s="7" t="n">
        <v>5</v>
      </c>
      <c r="G8" s="60">
        <f>E8*F8</f>
        <v/>
      </c>
      <c r="H8" s="61" t="inlineStr">
        <is>
          <t>Critical</t>
        </is>
      </c>
      <c r="I8" s="7" t="inlineStr">
        <is>
          <t>Auth, SuperAdmin Dashboard</t>
        </is>
      </c>
      <c r="J8" s="7" t="inlineStr">
        <is>
          <t>None.</t>
        </is>
      </c>
      <c r="K8" s="7" t="inlineStr">
        <is>
          <t>Implement TOTP-based 2FA (Google Authenticator). Enforce 2FA for SUPER_ADMIN role. Optional for Staff.</t>
        </is>
      </c>
      <c r="L8" s="66" t="inlineStr">
        <is>
          <t>High</t>
        </is>
      </c>
      <c r="M8" s="7" t="inlineStr">
        <is>
          <t>Security Lead</t>
        </is>
      </c>
    </row>
    <row r="9" ht="75" customHeight="1">
      <c r="A9" s="63" t="inlineStr">
        <is>
          <t>RSK-006</t>
        </is>
      </c>
      <c r="B9" s="63" t="inlineStr">
        <is>
          <t>Availability</t>
        </is>
      </c>
      <c r="C9" s="63" t="inlineStr">
        <is>
          <t>No database backup strategy</t>
        </is>
      </c>
      <c r="D9" s="63" t="inlineStr">
        <is>
          <t>SQLite dev.db has no automated backup. Any hardware failure or accidental deletion = permanent data loss.</t>
        </is>
      </c>
      <c r="E9" s="63" t="n">
        <v>3</v>
      </c>
      <c r="F9" s="63" t="n">
        <v>5</v>
      </c>
      <c r="G9" s="64">
        <f>E9*F9</f>
        <v/>
      </c>
      <c r="H9" s="65" t="inlineStr">
        <is>
          <t>High</t>
        </is>
      </c>
      <c r="I9" s="63" t="inlineStr">
        <is>
          <t>All (Database)</t>
        </is>
      </c>
      <c r="J9" s="63" t="inlineStr">
        <is>
          <t>None.</t>
        </is>
      </c>
      <c r="K9" s="63" t="inlineStr">
        <is>
          <t>Implement daily automated backups. SQLite: cp + timestamp or sqlite3 .backup. Post-migration to Postgres: pg_dump + S3 upload.</t>
        </is>
      </c>
      <c r="L9" s="62" t="inlineStr">
        <is>
          <t>Critical</t>
        </is>
      </c>
      <c r="M9" s="63" t="inlineStr">
        <is>
          <t>DevOps</t>
        </is>
      </c>
    </row>
    <row r="10" ht="75" customHeight="1">
      <c r="A10" s="7" t="inlineStr">
        <is>
          <t>RSK-007</t>
        </is>
      </c>
      <c r="B10" s="7" t="inlineStr">
        <is>
          <t>Security</t>
        </is>
      </c>
      <c r="C10" s="7" t="inlineStr">
        <is>
          <t>No input length limits on large text fields</t>
        </is>
      </c>
      <c r="D10" s="7" t="inlineStr">
        <is>
          <t>Text fields like complaint descriptions, event notes, and grade comments have no max-length validation. Could be exploited for DoS via oversized payloads.</t>
        </is>
      </c>
      <c r="E10" s="7" t="n">
        <v>3</v>
      </c>
      <c r="F10" s="7" t="n">
        <v>3</v>
      </c>
      <c r="G10" s="60">
        <f>E10*F10</f>
        <v/>
      </c>
      <c r="H10" s="67" t="inlineStr">
        <is>
          <t>Medium</t>
        </is>
      </c>
      <c r="I10" s="7" t="inlineStr">
        <is>
          <t>Complaints, Events, Admissions</t>
        </is>
      </c>
      <c r="J10" s="7" t="inlineStr">
        <is>
          <t>Partial — some Zod schemas added.</t>
        </is>
      </c>
      <c r="K10" s="7" t="inlineStr">
        <is>
          <t>Add maxLength validation on all text inputs in both frontend (MUI inputProps) and backend (Zod schemas).</t>
        </is>
      </c>
      <c r="L10" s="68" t="inlineStr">
        <is>
          <t>Medium</t>
        </is>
      </c>
      <c r="M10" s="7" t="inlineStr">
        <is>
          <t>Backend Team</t>
        </is>
      </c>
    </row>
    <row r="11" ht="75" customHeight="1">
      <c r="A11" s="63" t="inlineStr">
        <is>
          <t>RSK-008</t>
        </is>
      </c>
      <c r="B11" s="63" t="inlineStr">
        <is>
          <t>Security</t>
        </is>
      </c>
      <c r="C11" s="63" t="inlineStr">
        <is>
          <t>SMTP credentials exposed — no secrets management</t>
        </is>
      </c>
      <c r="D11" s="63" t="inlineStr">
        <is>
          <t>Email credentials likely stored in .env file. If .env committed to git or leaked, all email security is compromised.</t>
        </is>
      </c>
      <c r="E11" s="63" t="n">
        <v>3</v>
      </c>
      <c r="F11" s="63" t="n">
        <v>4</v>
      </c>
      <c r="G11" s="64">
        <f>E11*F11</f>
        <v/>
      </c>
      <c r="H11" s="65" t="inlineStr">
        <is>
          <t>High</t>
        </is>
      </c>
      <c r="I11" s="63" t="inlineStr">
        <is>
          <t>Notifications, Admissions Email</t>
        </is>
      </c>
      <c r="J11" s="63" t="inlineStr">
        <is>
          <t>.env file (partial protection).</t>
        </is>
      </c>
      <c r="K11" s="63" t="inlineStr">
        <is>
          <t>Use secrets manager (AWS Secrets Manager, HashiCorp Vault, or Doppler). Never commit .env. Add .env to .gitignore.</t>
        </is>
      </c>
      <c r="L11" s="66" t="inlineStr">
        <is>
          <t>High</t>
        </is>
      </c>
      <c r="M11" s="63" t="inlineStr">
        <is>
          <t>DevOps</t>
        </is>
      </c>
    </row>
    <row r="12" ht="75" customHeight="1">
      <c r="A12" s="7" t="inlineStr">
        <is>
          <t>RSK-009</t>
        </is>
      </c>
      <c r="B12" s="7" t="inlineStr">
        <is>
          <t>Availability</t>
        </is>
      </c>
      <c r="C12" s="7" t="inlineStr">
        <is>
          <t>Single-point-of-failure Express server</t>
        </is>
      </c>
      <c r="D12" s="7" t="inlineStr">
        <is>
          <t>Single Node.js/Express process. If it crashes, entire application is unavailable.</t>
        </is>
      </c>
      <c r="E12" s="7" t="n">
        <v>4</v>
      </c>
      <c r="F12" s="7" t="n">
        <v>4</v>
      </c>
      <c r="G12" s="60">
        <f>E12*F12</f>
        <v/>
      </c>
      <c r="H12" s="65" t="inlineStr">
        <is>
          <t>High</t>
        </is>
      </c>
      <c r="I12" s="7" t="inlineStr">
        <is>
          <t>All modules</t>
        </is>
      </c>
      <c r="J12" s="7" t="inlineStr">
        <is>
          <t>None.</t>
        </is>
      </c>
      <c r="K12" s="7" t="inlineStr">
        <is>
          <t>Deploy with PM2 cluster mode. Add health check endpoint /health. Use Nginx as reverse proxy. Consider Docker + auto-restart.</t>
        </is>
      </c>
      <c r="L12" s="66" t="inlineStr">
        <is>
          <t>High</t>
        </is>
      </c>
      <c r="M12" s="7" t="inlineStr">
        <is>
          <t>DevOps</t>
        </is>
      </c>
    </row>
    <row r="13" ht="75" customHeight="1">
      <c r="A13" s="63" t="inlineStr">
        <is>
          <t>RSK-010</t>
        </is>
      </c>
      <c r="B13" s="63" t="inlineStr">
        <is>
          <t>Privacy</t>
        </is>
      </c>
      <c r="C13" s="63" t="inlineStr">
        <is>
          <t>No data retention policy — sensitive data kept indefinitely</t>
        </is>
      </c>
      <c r="D13" s="63" t="inlineStr">
        <is>
          <t>Rejected applicant data, old audit logs, resolved complaints stored forever. GDPR/local regulation compliance risk.</t>
        </is>
      </c>
      <c r="E13" s="63" t="n">
        <v>3</v>
      </c>
      <c r="F13" s="63" t="n">
        <v>4</v>
      </c>
      <c r="G13" s="64">
        <f>E13*F13</f>
        <v/>
      </c>
      <c r="H13" s="65" t="inlineStr">
        <is>
          <t>High</t>
        </is>
      </c>
      <c r="I13" s="63" t="inlineStr">
        <is>
          <t>Admissions, Audit Logs, Complaints</t>
        </is>
      </c>
      <c r="J13" s="63" t="inlineStr">
        <is>
          <t>None.</t>
        </is>
      </c>
      <c r="K13" s="63" t="inlineStr">
        <is>
          <t>Implement data retention policy: anonymize rejected applicant data after 12 months. Archive audit logs after 3 years. Add admin "purge" function with double-confirmation.</t>
        </is>
      </c>
      <c r="L13" s="68" t="inlineStr">
        <is>
          <t>Medium</t>
        </is>
      </c>
      <c r="M13" s="63" t="inlineStr">
        <is>
          <t>Legal / Backend</t>
        </is>
      </c>
    </row>
    <row r="14" ht="75" customHeight="1">
      <c r="A14" s="7" t="inlineStr">
        <is>
          <t>RSK-011</t>
        </is>
      </c>
      <c r="B14" s="7" t="inlineStr">
        <is>
          <t>Security</t>
        </is>
      </c>
      <c r="C14" s="7" t="inlineStr">
        <is>
          <t>QR session tokens are not rate-limited per IP</t>
        </is>
      </c>
      <c r="D14" s="7" t="inlineStr">
        <is>
          <t>An attacker can rapidly try many QR scan attempts, potentially discovering valid sessionIds or flooding the DB with invalid records.</t>
        </is>
      </c>
      <c r="E14" s="7" t="n">
        <v>3</v>
      </c>
      <c r="F14" s="7" t="n">
        <v>3</v>
      </c>
      <c r="G14" s="60">
        <f>E14*F14</f>
        <v/>
      </c>
      <c r="H14" s="67" t="inlineStr">
        <is>
          <t>Medium</t>
        </is>
      </c>
      <c r="I14" s="7" t="inlineStr">
        <is>
          <t>Attendance QR</t>
        </is>
      </c>
      <c r="J14" s="7" t="inlineStr">
        <is>
          <t>None specific to QR.</t>
        </is>
      </c>
      <c r="K14" s="7" t="inlineStr">
        <is>
          <t>Add rate limiting on /api/attendance/mark endpoint. Max 5 scans per IP per session. CAPTCHA for suspicious activity.</t>
        </is>
      </c>
      <c r="L14" s="68" t="inlineStr">
        <is>
          <t>Medium</t>
        </is>
      </c>
      <c r="M14" s="7" t="inlineStr">
        <is>
          <t>Backend Team</t>
        </is>
      </c>
    </row>
    <row r="15" ht="75" customHeight="1">
      <c r="A15" s="63" t="inlineStr">
        <is>
          <t>RSK-012</t>
        </is>
      </c>
      <c r="B15" s="63" t="inlineStr">
        <is>
          <t>Scalability</t>
        </is>
      </c>
      <c r="C15" s="63" t="inlineStr">
        <is>
          <t>No message queue for email sending</t>
        </is>
      </c>
      <c r="D15" s="63" t="inlineStr">
        <is>
          <t>Email sending is synchronous in the request lifecycle. If SMTP is slow or down, API responses are delayed.</t>
        </is>
      </c>
      <c r="E15" s="63" t="n">
        <v>4</v>
      </c>
      <c r="F15" s="63" t="n">
        <v>3</v>
      </c>
      <c r="G15" s="64">
        <f>E15*F15</f>
        <v/>
      </c>
      <c r="H15" s="65" t="inlineStr">
        <is>
          <t>High</t>
        </is>
      </c>
      <c r="I15" s="63" t="inlineStr">
        <is>
          <t>Admissions, Notifications</t>
        </is>
      </c>
      <c r="J15" s="63" t="inlineStr">
        <is>
          <t>None.</t>
        </is>
      </c>
      <c r="K15" s="63" t="inlineStr">
        <is>
          <t>Implement async email queue using Bull/Redis or AWS SQS. API responds immediately, email sent asynchronously. Retry on failure.</t>
        </is>
      </c>
      <c r="L15" s="68" t="inlineStr">
        <is>
          <t>Medium</t>
        </is>
      </c>
      <c r="M15" s="63" t="inlineStr">
        <is>
          <t>Backend Team</t>
        </is>
      </c>
    </row>
    <row r="16" ht="75" customHeight="1">
      <c r="A16" s="7" t="inlineStr">
        <is>
          <t>RSK-013</t>
        </is>
      </c>
      <c r="B16" s="7" t="inlineStr">
        <is>
          <t>Security</t>
        </is>
      </c>
      <c r="C16" s="7" t="inlineStr">
        <is>
          <t>Playwright test credentials may be hardcoded</t>
        </is>
      </c>
      <c r="D16" s="7" t="inlineStr">
        <is>
          <t>E2E tests using Playwright may use hardcoded test credentials in playwright.config.ts or test files.</t>
        </is>
      </c>
      <c r="E16" s="7" t="n">
        <v>3</v>
      </c>
      <c r="F16" s="7" t="n">
        <v>3</v>
      </c>
      <c r="G16" s="60">
        <f>E16*F16</f>
        <v/>
      </c>
      <c r="H16" s="67" t="inlineStr">
        <is>
          <t>Medium</t>
        </is>
      </c>
      <c r="I16" s="7" t="inlineStr">
        <is>
          <t>Testing Infrastructure</t>
        </is>
      </c>
      <c r="J16" s="7" t="inlineStr">
        <is>
          <t>playwright.config.ts present.</t>
        </is>
      </c>
      <c r="K16" s="7" t="inlineStr">
        <is>
          <t>Use environment variables for test credentials. Add pre-commit hook to scan for hardcoded secrets (truffleHog, gitleaks).</t>
        </is>
      </c>
      <c r="L16" s="68" t="inlineStr">
        <is>
          <t>Medium</t>
        </is>
      </c>
      <c r="M16" s="7" t="inlineStr">
        <is>
          <t>QA / DevOps</t>
        </is>
      </c>
    </row>
    <row r="17" ht="75" customHeight="1">
      <c r="A17" s="63" t="inlineStr">
        <is>
          <t>RSK-014</t>
        </is>
      </c>
      <c r="B17" s="63" t="inlineStr">
        <is>
          <t>Compliance</t>
        </is>
      </c>
      <c r="C17" s="63" t="inlineStr">
        <is>
          <t>No PDPA/FERPA compliance documentation</t>
        </is>
      </c>
      <c r="D17" s="63" t="inlineStr">
        <is>
          <t>System handles sensitive student data (National IDs, grades, financial records) with no documented compliance framework.</t>
        </is>
      </c>
      <c r="E17" s="63" t="n">
        <v>3</v>
      </c>
      <c r="F17" s="63" t="n">
        <v>4</v>
      </c>
      <c r="G17" s="64">
        <f>E17*F17</f>
        <v/>
      </c>
      <c r="H17" s="65" t="inlineStr">
        <is>
          <t>High</t>
        </is>
      </c>
      <c r="I17" s="63" t="inlineStr">
        <is>
          <t>All modules</t>
        </is>
      </c>
      <c r="J17" s="63" t="inlineStr">
        <is>
          <t>Basic data hashing (bcrypt) noted.</t>
        </is>
      </c>
      <c r="K17" s="63" t="inlineStr">
        <is>
          <t>Engage legal counsel. Document data flows. Implement privacy-by-design: minimize data collection, encrypt at rest, right-to-erasure workflow.</t>
        </is>
      </c>
      <c r="L17" s="66" t="inlineStr">
        <is>
          <t>High</t>
        </is>
      </c>
      <c r="M17" s="63" t="inlineStr">
        <is>
          <t>Legal / Admin</t>
        </is>
      </c>
    </row>
    <row r="18" ht="75" customHeight="1">
      <c r="A18" s="7" t="inlineStr">
        <is>
          <t>RSK-015</t>
        </is>
      </c>
      <c r="B18" s="7" t="inlineStr">
        <is>
          <t>Security</t>
        </is>
      </c>
      <c r="C18" s="7" t="inlineStr">
        <is>
          <t>Winston logs may capture sensitive request bodies</t>
        </is>
      </c>
      <c r="D18" s="7" t="inlineStr">
        <is>
          <t>Winston logger configured for request logging. Without field masking, passwords and personal data may appear in logs.</t>
        </is>
      </c>
      <c r="E18" s="7" t="n">
        <v>3</v>
      </c>
      <c r="F18" s="7" t="n">
        <v>4</v>
      </c>
      <c r="G18" s="60">
        <f>E18*F18</f>
        <v/>
      </c>
      <c r="H18" s="65" t="inlineStr">
        <is>
          <t>High</t>
        </is>
      </c>
      <c r="I18" s="7" t="inlineStr">
        <is>
          <t>All API endpoints</t>
        </is>
      </c>
      <c r="J18" s="7" t="inlineStr">
        <is>
          <t>Partial — bcrypt hides passwords in DB.</t>
        </is>
      </c>
      <c r="K18" s="7" t="inlineStr">
        <is>
          <t>Add log sanitizer middleware: strip password, nationalId, creditCard fields from all logged request bodies.</t>
        </is>
      </c>
      <c r="L18" s="66" t="inlineStr">
        <is>
          <t>High</t>
        </is>
      </c>
      <c r="M18" s="7" t="inlineStr">
        <is>
          <t>Backend Team</t>
        </is>
      </c>
    </row>
    <row r="20">
      <c r="A20" s="69" t="inlineStr">
        <is>
          <t>TOTAL RISKS IDENTIFIED: 15</t>
        </is>
      </c>
      <c r="B20" s="22" t="n"/>
      <c r="C20" s="22" t="n"/>
      <c r="D20" s="22" t="n"/>
      <c r="E20" s="22" t="n"/>
      <c r="F20" s="54">
        <f>COUNTIF(H4:H18,"Critical")</f>
        <v/>
      </c>
      <c r="G20" s="55">
        <f>COUNTIF(H4:H18,"High")</f>
        <v/>
      </c>
      <c r="H20" s="70">
        <f>COUNTIF(H4:H18,"Medium")</f>
        <v/>
      </c>
      <c r="I20" s="22" t="n"/>
      <c r="J20" s="22" t="n"/>
      <c r="K20" s="22" t="n"/>
      <c r="L20" s="22" t="n"/>
      <c r="M20" s="22" t="n"/>
    </row>
    <row r="21">
      <c r="F21" s="71" t="inlineStr">
        <is>
          <t>Critical Risks</t>
        </is>
      </c>
      <c r="G21" s="71" t="inlineStr">
        <is>
          <t>High Risks</t>
        </is>
      </c>
      <c r="H21" s="71" t="inlineStr">
        <is>
          <t>Medium Risks</t>
        </is>
      </c>
    </row>
  </sheetData>
  <mergeCells count="3">
    <mergeCell ref="A20:E20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2026-03-06T23:15:36Z</dcterms:created>
  <dcterms:modified xmlns:dcterms="http://purl.org/dc/terms/" xmlns:xsi="http://www.w3.org/2001/XMLSchema-instance" xsi:type="dcterms:W3CDTF">2026-03-06T23:15:37Z</dcterms:modified>
</cp:coreProperties>
</file>